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陈玉洪\成本\2021\2021年1月成本核算\1月双流\"/>
    </mc:Choice>
  </mc:AlternateContent>
  <bookViews>
    <workbookView xWindow="0" yWindow="0" windowWidth="23040" windowHeight="9180"/>
  </bookViews>
  <sheets>
    <sheet name="源表" sheetId="1" r:id="rId1"/>
    <sheet name="透视" sheetId="2" r:id="rId2"/>
  </sheets>
  <externalReferences>
    <externalReference r:id="rId3"/>
  </externalReferences>
  <definedNames>
    <definedName name="_xlnm._FilterDatabase" localSheetId="1" hidden="1">透视!$A$3:$D$259</definedName>
  </definedNames>
  <calcPr calcId="162913"/>
  <pivotCaches>
    <pivotCache cacheId="25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44" i="2" l="1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4" i="2" l="1"/>
</calcChain>
</file>

<file path=xl/sharedStrings.xml><?xml version="1.0" encoding="utf-8"?>
<sst xmlns="http://schemas.openxmlformats.org/spreadsheetml/2006/main" count="3424" uniqueCount="580">
  <si>
    <t>类别</t>
  </si>
  <si>
    <t>机型</t>
  </si>
  <si>
    <t>图号</t>
  </si>
  <si>
    <t>批次号</t>
  </si>
  <si>
    <t>质量编号</t>
  </si>
  <si>
    <t>领料日期</t>
  </si>
  <si>
    <t>计划数量</t>
  </si>
  <si>
    <t>任务编号</t>
  </si>
  <si>
    <t>交付日期</t>
  </si>
  <si>
    <t>合格数量</t>
  </si>
  <si>
    <t>操作工</t>
  </si>
  <si>
    <t>单件工时</t>
  </si>
  <si>
    <t>总工时</t>
  </si>
  <si>
    <t>钣铆</t>
  </si>
  <si>
    <t>CB</t>
  </si>
  <si>
    <t>CB228545C-000-001</t>
  </si>
  <si>
    <t>05-109-110</t>
  </si>
  <si>
    <t>5P002</t>
  </si>
  <si>
    <t>110403000201</t>
  </si>
  <si>
    <t>J10C</t>
  </si>
  <si>
    <t>DD-J10-61052-270-Y</t>
  </si>
  <si>
    <t>07-12-14</t>
  </si>
  <si>
    <t>C7P003</t>
  </si>
  <si>
    <t>110311000201</t>
  </si>
  <si>
    <t>FC1</t>
  </si>
  <si>
    <t>BC22822A1-000-001</t>
  </si>
  <si>
    <t>03-3021-3027</t>
  </si>
  <si>
    <t>3P005</t>
  </si>
  <si>
    <t>110204000201</t>
  </si>
  <si>
    <t>DD-J10-61031-50</t>
  </si>
  <si>
    <t>07-1-20</t>
  </si>
  <si>
    <t>C7P001</t>
  </si>
  <si>
    <t>BC22822F2-000-001</t>
  </si>
  <si>
    <t>03-3022-3024</t>
  </si>
  <si>
    <t>3P004</t>
  </si>
  <si>
    <t>BC22822F1-000-001</t>
  </si>
  <si>
    <t>03-3023-3027</t>
  </si>
  <si>
    <t>BC22822B5-000-001</t>
  </si>
  <si>
    <t>03-3016-3027</t>
  </si>
  <si>
    <t>3P002</t>
  </si>
  <si>
    <t>DD-J10-61031-60</t>
  </si>
  <si>
    <t>07-1-6</t>
  </si>
  <si>
    <t>110311090201</t>
  </si>
  <si>
    <t>DD-J10-61041-280</t>
  </si>
  <si>
    <t>C7P001-1</t>
  </si>
  <si>
    <t>DD-J10-61031-120</t>
  </si>
  <si>
    <t>J10S</t>
  </si>
  <si>
    <t>DD-J10S-94021-1220-1H</t>
  </si>
  <si>
    <t>04-15-22</t>
  </si>
  <si>
    <t>4P003</t>
  </si>
  <si>
    <t>110304000201</t>
  </si>
  <si>
    <t>BC22822F3-000-001</t>
  </si>
  <si>
    <t>03-3016-3026</t>
  </si>
  <si>
    <t>3P003</t>
  </si>
  <si>
    <t>CB2285477-000-001</t>
  </si>
  <si>
    <t>05-114-120</t>
  </si>
  <si>
    <t>5P003</t>
  </si>
  <si>
    <t>CB2283465-000-001</t>
  </si>
  <si>
    <t>04-99-108</t>
  </si>
  <si>
    <t>5P001</t>
  </si>
  <si>
    <t>CB2283456-000-001</t>
  </si>
  <si>
    <t>CB2285663-000L002</t>
  </si>
  <si>
    <t>05-101-110</t>
  </si>
  <si>
    <t>CB22853H3-000-001</t>
  </si>
  <si>
    <t>CB228547B-000-001</t>
  </si>
  <si>
    <t>CB2285472-000-002</t>
  </si>
  <si>
    <t>05-111-118</t>
  </si>
  <si>
    <t>5P007</t>
  </si>
  <si>
    <t>04-99-106</t>
  </si>
  <si>
    <t>CB2285476-000-001</t>
  </si>
  <si>
    <t>CB2282752-000-003</t>
  </si>
  <si>
    <t>06-121-125</t>
  </si>
  <si>
    <t>6P001</t>
  </si>
  <si>
    <t>DD-J10-61021-150</t>
  </si>
  <si>
    <t>05-1-40</t>
  </si>
  <si>
    <t>C5P014</t>
  </si>
  <si>
    <t>110311000202</t>
  </si>
  <si>
    <t>07-1-8</t>
  </si>
  <si>
    <t>CB22853H4-000-001</t>
  </si>
  <si>
    <t>04-97-106</t>
  </si>
  <si>
    <t>DD-J10B-94076-1230</t>
  </si>
  <si>
    <t>7P001</t>
  </si>
  <si>
    <t>DD-J10B-94076-1220</t>
  </si>
  <si>
    <t>07-1-2</t>
  </si>
  <si>
    <t>DD-J10-61031-150</t>
  </si>
  <si>
    <t>04-19-20</t>
  </si>
  <si>
    <t>C4P018</t>
  </si>
  <si>
    <t>DD-J10-61052-340-Z</t>
  </si>
  <si>
    <t>07-3-20</t>
  </si>
  <si>
    <t>C7P002</t>
  </si>
  <si>
    <t>C7P002-1</t>
  </si>
  <si>
    <t>CB2285663-000R002</t>
  </si>
  <si>
    <t>DD-J10-61052-190-Z</t>
  </si>
  <si>
    <t>CB2285652-000R002</t>
  </si>
  <si>
    <t>05-102-111</t>
  </si>
  <si>
    <t>CB2285652-000L002</t>
  </si>
  <si>
    <t>05-105-114</t>
  </si>
  <si>
    <t>04-15-16</t>
  </si>
  <si>
    <t>C4P010</t>
  </si>
  <si>
    <t>110304070201</t>
  </si>
  <si>
    <t>CB22832G7-000-001</t>
  </si>
  <si>
    <t>05-101-120</t>
  </si>
  <si>
    <t>402050001902</t>
  </si>
  <si>
    <t>DD-J10-61021-120</t>
  </si>
  <si>
    <t>04-15-15</t>
  </si>
  <si>
    <t>C4P006</t>
  </si>
  <si>
    <t>CB2282661-000R004</t>
  </si>
  <si>
    <t>06-125-134</t>
  </si>
  <si>
    <t>06-126-144</t>
  </si>
  <si>
    <t>CB221T2LL-000-002H</t>
  </si>
  <si>
    <t>04-99-110</t>
  </si>
  <si>
    <t>CB221T2MB-000-002H</t>
  </si>
  <si>
    <t>05-116-116</t>
  </si>
  <si>
    <t>CB221T2LU-000-002H</t>
  </si>
  <si>
    <t>04-93-97</t>
  </si>
  <si>
    <t>4P004</t>
  </si>
  <si>
    <t>CB22853H2-000-001</t>
  </si>
  <si>
    <t>04-100-106</t>
  </si>
  <si>
    <t>CB2283455-000-001</t>
  </si>
  <si>
    <t>05-106-110</t>
  </si>
  <si>
    <t>CB22852G5-000-001</t>
  </si>
  <si>
    <t>05-111-120</t>
  </si>
  <si>
    <t>05-102-110</t>
  </si>
  <si>
    <t>CB22832G1-000-001</t>
  </si>
  <si>
    <t>05-108-108</t>
  </si>
  <si>
    <t>5P004</t>
  </si>
  <si>
    <t>05-107-107</t>
  </si>
  <si>
    <t>DD-J10-61001-1860/1</t>
  </si>
  <si>
    <t>C4P014</t>
  </si>
  <si>
    <t>DD-J10-61052-210-Z</t>
  </si>
  <si>
    <t>07-18-20</t>
  </si>
  <si>
    <t>C7P004</t>
  </si>
  <si>
    <t>DD-J10-61052-190-Y</t>
  </si>
  <si>
    <t>DD-J10B-61001-3810</t>
  </si>
  <si>
    <t>07-9-20</t>
  </si>
  <si>
    <t>7P002</t>
  </si>
  <si>
    <t>DD-J10-61052-220-Y</t>
  </si>
  <si>
    <t>C4P015</t>
  </si>
  <si>
    <t>DD-J10S-61011-1010</t>
  </si>
  <si>
    <t>04-15-19</t>
  </si>
  <si>
    <t>DD-J10-61052-340-Y</t>
  </si>
  <si>
    <t>07-1-3</t>
  </si>
  <si>
    <t>07-11-18</t>
  </si>
  <si>
    <t>07-1-10</t>
  </si>
  <si>
    <t>DD-J10-61031-930</t>
  </si>
  <si>
    <t>C4P008</t>
  </si>
  <si>
    <t>DD-J10-61101-170/2</t>
  </si>
  <si>
    <t>GU</t>
  </si>
  <si>
    <t>GU2285558-000-001</t>
  </si>
  <si>
    <t>00-63-68</t>
  </si>
  <si>
    <t>00P005</t>
  </si>
  <si>
    <t>111503000202</t>
  </si>
  <si>
    <t>GU2285554-000-001</t>
  </si>
  <si>
    <t>00-68-68</t>
  </si>
  <si>
    <t>00P003</t>
  </si>
  <si>
    <t>111503000201</t>
  </si>
  <si>
    <t>DD-J10S-94051-4200-1H</t>
  </si>
  <si>
    <t>DD-J10B-21102-290-Y</t>
  </si>
  <si>
    <t>07-21-32</t>
  </si>
  <si>
    <t>DD-J10S-94051-4400-1H</t>
  </si>
  <si>
    <t>04-20-22</t>
  </si>
  <si>
    <t>4P005</t>
  </si>
  <si>
    <t>DD-J10-61001-1830/1</t>
  </si>
  <si>
    <t>DD-J10-61001-1840/2</t>
  </si>
  <si>
    <t>DD-J10-61052-470-Z</t>
  </si>
  <si>
    <t>C4P004</t>
  </si>
  <si>
    <t>DD-J10-61052-470-Y</t>
  </si>
  <si>
    <t>CB2283664-000L002</t>
  </si>
  <si>
    <t>05-111-119</t>
  </si>
  <si>
    <t>CB228547C-000-001</t>
  </si>
  <si>
    <t>05-107-113</t>
  </si>
  <si>
    <t>CB2283462-000-001</t>
  </si>
  <si>
    <t>CB2283666-000L003</t>
  </si>
  <si>
    <t>05-109-111</t>
  </si>
  <si>
    <t>DD-J10-61052-250-Z</t>
  </si>
  <si>
    <t>04-16-22</t>
  </si>
  <si>
    <t>CB2283154-000-001</t>
  </si>
  <si>
    <t>CB2285479-000-001</t>
  </si>
  <si>
    <t>05-115-120</t>
  </si>
  <si>
    <t>05-107-114</t>
  </si>
  <si>
    <t>DD-J10-61041-320</t>
  </si>
  <si>
    <t>DD-J10-61052-130-Y</t>
  </si>
  <si>
    <t>06-1-16</t>
  </si>
  <si>
    <t>C6P008</t>
  </si>
  <si>
    <t>DD-J10-61001-1870/1</t>
  </si>
  <si>
    <t>06-1-40</t>
  </si>
  <si>
    <t>C6P009</t>
  </si>
  <si>
    <t>DD-J10-61041-130</t>
  </si>
  <si>
    <t>BC2281633-000-001</t>
  </si>
  <si>
    <t>03-3026-3027</t>
  </si>
  <si>
    <t>DD-J10-61041-330</t>
  </si>
  <si>
    <t>03-3024-3025</t>
  </si>
  <si>
    <t>CB22857H8-000-005</t>
  </si>
  <si>
    <t>04-87-91</t>
  </si>
  <si>
    <t>CB221T5LB-000-002H</t>
  </si>
  <si>
    <t>CB228545B-000-001</t>
  </si>
  <si>
    <t>CB228545F-000-001</t>
  </si>
  <si>
    <t>04-91-93</t>
  </si>
  <si>
    <t>04-94-108</t>
  </si>
  <si>
    <t>5P001-1</t>
  </si>
  <si>
    <t>CB22857F5-000-003</t>
  </si>
  <si>
    <t>05-102-113</t>
  </si>
  <si>
    <t>CB2282162-000-001</t>
  </si>
  <si>
    <t>06-126-127</t>
  </si>
  <si>
    <t>6P002</t>
  </si>
  <si>
    <t>CB2747B10-001-002H</t>
  </si>
  <si>
    <t>04-99-103</t>
  </si>
  <si>
    <t>05-104-108</t>
  </si>
  <si>
    <t>DD-J10-78352-80-Z</t>
  </si>
  <si>
    <t>DD-J10-61052-330-Y</t>
  </si>
  <si>
    <t>06-16-40</t>
  </si>
  <si>
    <t>C6P005</t>
  </si>
  <si>
    <t>DD-J10-61101-330</t>
  </si>
  <si>
    <t>DD-J10-78352-90-Y</t>
  </si>
  <si>
    <t>CB22857B1-000-003</t>
  </si>
  <si>
    <t>05-101-102</t>
  </si>
  <si>
    <t>CB22857H1-000-002</t>
  </si>
  <si>
    <t>06-121-122</t>
  </si>
  <si>
    <t>CB2283661-000L001</t>
  </si>
  <si>
    <t>CB2282663-000L002</t>
  </si>
  <si>
    <t>04-87-96</t>
  </si>
  <si>
    <t>CB22832G6-000-001</t>
  </si>
  <si>
    <t>05-106-113</t>
  </si>
  <si>
    <t>06-121-127</t>
  </si>
  <si>
    <t>CB221T5LJ-000-002H</t>
  </si>
  <si>
    <t>05-106-107</t>
  </si>
  <si>
    <t>DD-J10-05076-90-Z</t>
  </si>
  <si>
    <t>DD-J10-61021-60</t>
  </si>
  <si>
    <t>C4P009</t>
  </si>
  <si>
    <t>DD-J10S-94011-620-1H</t>
  </si>
  <si>
    <t>DD-J10B-61001-3850/1</t>
  </si>
  <si>
    <t>CB221T4TA-000-001</t>
  </si>
  <si>
    <t>DD-J10-61101-40</t>
  </si>
  <si>
    <t>07-1-16</t>
  </si>
  <si>
    <t>DD-J10-61031-920</t>
  </si>
  <si>
    <t>DD-J10-61001-1880/1</t>
  </si>
  <si>
    <t>DD-J10-61041-150</t>
  </si>
  <si>
    <t>07-14-17</t>
  </si>
  <si>
    <t>CB22827B8-000-007</t>
  </si>
  <si>
    <t>05-101-101</t>
  </si>
  <si>
    <t>05-102-102</t>
  </si>
  <si>
    <t>05-103-103</t>
  </si>
  <si>
    <t>DD-J10B-94076-1050H</t>
  </si>
  <si>
    <t>06-17-40</t>
  </si>
  <si>
    <t>6P004</t>
  </si>
  <si>
    <t>DD-J10B-94011-1290G2H</t>
  </si>
  <si>
    <t>6P007</t>
  </si>
  <si>
    <t>DD-J10B-94061-1050H</t>
  </si>
  <si>
    <t>6P008</t>
  </si>
  <si>
    <t>CB2285464-000-002</t>
  </si>
  <si>
    <t>CB2283661-000R001</t>
  </si>
  <si>
    <t>CB22837C3-000-001</t>
  </si>
  <si>
    <t>05-102-109</t>
  </si>
  <si>
    <t>05-110-116</t>
  </si>
  <si>
    <t>05-117-122</t>
  </si>
  <si>
    <t>CB22827C3-000-009</t>
  </si>
  <si>
    <t>04-100-101</t>
  </si>
  <si>
    <t>CB2285465-000-002</t>
  </si>
  <si>
    <t>CB2285461-000-002</t>
  </si>
  <si>
    <t>DD-J10B-94061-350</t>
  </si>
  <si>
    <t>07-7-9</t>
  </si>
  <si>
    <t>DD-J10B-61011-110G2</t>
  </si>
  <si>
    <t>07-15-20</t>
  </si>
  <si>
    <t>DD-J10B-94031-2110</t>
  </si>
  <si>
    <t>07-6-18</t>
  </si>
  <si>
    <t>DD-J10B-94061-1070H</t>
  </si>
  <si>
    <t>CB2285462-000-002</t>
  </si>
  <si>
    <t>CB2283454-000-002</t>
  </si>
  <si>
    <t>05-104-120</t>
  </si>
  <si>
    <t>04-97-103</t>
  </si>
  <si>
    <t>04-89-96</t>
  </si>
  <si>
    <t>4P001</t>
  </si>
  <si>
    <t>04-83-86</t>
  </si>
  <si>
    <t>4P002</t>
  </si>
  <si>
    <t>BC221T1BB-000-001H</t>
  </si>
  <si>
    <t>01-6-17</t>
  </si>
  <si>
    <t>1P012</t>
  </si>
  <si>
    <t>110204030202</t>
  </si>
  <si>
    <t>DD-J10S-94061-2080</t>
  </si>
  <si>
    <t>DD-J10B-94061-2010H</t>
  </si>
  <si>
    <t>DD-J10S-94011-770</t>
  </si>
  <si>
    <t>4P006</t>
  </si>
  <si>
    <t>CB22837C1-000-001</t>
  </si>
  <si>
    <t>05-106-112</t>
  </si>
  <si>
    <t>CB2282571-000-002</t>
  </si>
  <si>
    <t>CB22833G2-000-001</t>
  </si>
  <si>
    <t>05-109-118</t>
  </si>
  <si>
    <t>04-99-105</t>
  </si>
  <si>
    <t>CB22832G2-000-001</t>
  </si>
  <si>
    <t>05-107-110</t>
  </si>
  <si>
    <t>5P005</t>
  </si>
  <si>
    <t>CB2283452-000-001</t>
  </si>
  <si>
    <t>CB2282661-000L004</t>
  </si>
  <si>
    <t>05-101-106</t>
  </si>
  <si>
    <t>05-107-116</t>
  </si>
  <si>
    <t>05-117-126</t>
  </si>
  <si>
    <t>CB2282292-000-001</t>
  </si>
  <si>
    <t>06-128-135</t>
  </si>
  <si>
    <t>CB22827B5-000-004</t>
  </si>
  <si>
    <t>04-99-109</t>
  </si>
  <si>
    <t>05-110-120</t>
  </si>
  <si>
    <t>DD-J10B-61201-2070</t>
  </si>
  <si>
    <t>07-1-5</t>
  </si>
  <si>
    <t>DD-J10-61021-50</t>
  </si>
  <si>
    <t>C4P011</t>
  </si>
  <si>
    <t>DD-J10B-94011-3110</t>
  </si>
  <si>
    <t>07-1-4</t>
  </si>
  <si>
    <t>DD-J10S-94061-120</t>
  </si>
  <si>
    <t>04-15-18</t>
  </si>
  <si>
    <t>BC22832E2-000-001</t>
  </si>
  <si>
    <t>03-3023-3025</t>
  </si>
  <si>
    <t>BC22843C7-000-001</t>
  </si>
  <si>
    <t>03-3027-3027</t>
  </si>
  <si>
    <t>BC22822B2-000-001</t>
  </si>
  <si>
    <t>BC22821A3-000-001</t>
  </si>
  <si>
    <t>03-3026-3026</t>
  </si>
  <si>
    <t>3P006</t>
  </si>
  <si>
    <t>CB221T2LP-000-002H</t>
  </si>
  <si>
    <t>04-97-98</t>
  </si>
  <si>
    <t>CB221T5LL-000-003H</t>
  </si>
  <si>
    <t>04-99-99</t>
  </si>
  <si>
    <t>4P009</t>
  </si>
  <si>
    <t>CB22857G4-000-001</t>
  </si>
  <si>
    <t>CB2282553-000-003</t>
  </si>
  <si>
    <t>CB2282551-000-002</t>
  </si>
  <si>
    <t>05-113-119</t>
  </si>
  <si>
    <t>05-113-120</t>
  </si>
  <si>
    <t>CB221T2LC-000-002H</t>
  </si>
  <si>
    <t>05-105-116</t>
  </si>
  <si>
    <t>05-120-121</t>
  </si>
  <si>
    <t>CB221T5LD-000-002H</t>
  </si>
  <si>
    <t>05-105-105</t>
  </si>
  <si>
    <t>CB221T2LB-000-002H</t>
  </si>
  <si>
    <t>04-99-100</t>
  </si>
  <si>
    <t>CB221T3MB-000-002H</t>
  </si>
  <si>
    <t>04-99-101</t>
  </si>
  <si>
    <t>04-21-22</t>
  </si>
  <si>
    <t>DD-J10B-94021-110</t>
  </si>
  <si>
    <t>DD-J10S-94011-920</t>
  </si>
  <si>
    <t>DD-J10B-61052-460-Y</t>
  </si>
  <si>
    <t>07-3-4</t>
  </si>
  <si>
    <t>DD-J10S-94076-6120</t>
  </si>
  <si>
    <t>06-36-40</t>
  </si>
  <si>
    <t>6P006</t>
  </si>
  <si>
    <t>07-3-8</t>
  </si>
  <si>
    <t>CB2285653-000L002</t>
  </si>
  <si>
    <t>05-112-118</t>
  </si>
  <si>
    <t>CB221T2LJ-000-002H</t>
  </si>
  <si>
    <t>402020001902</t>
  </si>
  <si>
    <t>BC2281634-000-001</t>
  </si>
  <si>
    <t>03-3018-3026</t>
  </si>
  <si>
    <t>DD-J10B-61052-460-Z</t>
  </si>
  <si>
    <t>DD-J10B-61021-160-1H</t>
  </si>
  <si>
    <t>DD-J10B-63001-610H</t>
  </si>
  <si>
    <t>DD-J10-61021-140</t>
  </si>
  <si>
    <t>C4P007</t>
  </si>
  <si>
    <t>DD-J10-61011-2120</t>
  </si>
  <si>
    <t>07-1-17</t>
  </si>
  <si>
    <t>DD-J10-61052-320/2</t>
  </si>
  <si>
    <t>DD-J10-61031-70</t>
  </si>
  <si>
    <t>DD-J10-61031-130</t>
  </si>
  <si>
    <t>DD-J10-61052-270-Z</t>
  </si>
  <si>
    <t>DD-J10-61041-620</t>
  </si>
  <si>
    <t>04-95-98</t>
  </si>
  <si>
    <t>4P008</t>
  </si>
  <si>
    <t>DD-J10-61041-630</t>
  </si>
  <si>
    <t>C6P003-1</t>
  </si>
  <si>
    <t>DD-J10B-94076-1140H</t>
  </si>
  <si>
    <t>6P009</t>
  </si>
  <si>
    <t>DD-J10-61052-90-Y</t>
  </si>
  <si>
    <t>DD-J10B-94076-1060H</t>
  </si>
  <si>
    <t>6P003</t>
  </si>
  <si>
    <t>DD-J10B-63001-510H</t>
  </si>
  <si>
    <t>DD-J10B-61031-30</t>
  </si>
  <si>
    <t>DD-J10S-94076-6140</t>
  </si>
  <si>
    <t>BC2281658-000-005</t>
  </si>
  <si>
    <t>03-3025-3027</t>
  </si>
  <si>
    <t>BC2281632-000-001</t>
  </si>
  <si>
    <t>03-3021-3024</t>
  </si>
  <si>
    <t>BC22816Y2-000-002</t>
  </si>
  <si>
    <t>BC22811A3-000-001</t>
  </si>
  <si>
    <t>03-3027-3026</t>
  </si>
  <si>
    <t>BC22833A6-000-001</t>
  </si>
  <si>
    <t>03-3018-3025</t>
  </si>
  <si>
    <t>DD-J10S-94076-6170H</t>
  </si>
  <si>
    <t>C4P005</t>
  </si>
  <si>
    <t>DD-J10-63001-630H</t>
  </si>
  <si>
    <t>CB2283791-000-002</t>
  </si>
  <si>
    <t>CB2282556-000-003</t>
  </si>
  <si>
    <t>04-100-103</t>
  </si>
  <si>
    <t>BC228165C-000-003</t>
  </si>
  <si>
    <t>03-3018-3027</t>
  </si>
  <si>
    <t>05-101-104</t>
  </si>
  <si>
    <t>CB221T5LA-000-002H</t>
  </si>
  <si>
    <t>05-104-109</t>
  </si>
  <si>
    <t>04-95-104</t>
  </si>
  <si>
    <t>05-105-115</t>
  </si>
  <si>
    <t>DD-J10-61021-130</t>
  </si>
  <si>
    <t>07-1-9</t>
  </si>
  <si>
    <t>07-10-18</t>
  </si>
  <si>
    <t>06-17-17</t>
  </si>
  <si>
    <t>C5P006</t>
  </si>
  <si>
    <t>CB2282761-000-001</t>
  </si>
  <si>
    <t>04-109-109</t>
  </si>
  <si>
    <t>DD-J10-61041-170</t>
  </si>
  <si>
    <t>CB221T2LM-000-002H</t>
  </si>
  <si>
    <t>04-100-109</t>
  </si>
  <si>
    <t>05-106-106</t>
  </si>
  <si>
    <t>CB22832G9-000-001</t>
  </si>
  <si>
    <t>04-100-100</t>
  </si>
  <si>
    <t>04-96-99</t>
  </si>
  <si>
    <t>CB2282566-000-003</t>
  </si>
  <si>
    <t>05-108-117</t>
  </si>
  <si>
    <t>04-100-107</t>
  </si>
  <si>
    <t>CB2282762-000-003</t>
  </si>
  <si>
    <t>05-105-11</t>
  </si>
  <si>
    <t>05-120-126</t>
  </si>
  <si>
    <t>CB2282557-000-002</t>
  </si>
  <si>
    <t>CB2282751-000-001</t>
  </si>
  <si>
    <t>05-105-112</t>
  </si>
  <si>
    <t>04-92-92</t>
  </si>
  <si>
    <t>DD-J10B-94076-1090H</t>
  </si>
  <si>
    <t>DD-J10S-94011-630-1H</t>
  </si>
  <si>
    <t>6P005</t>
  </si>
  <si>
    <t>05-110-119</t>
  </si>
  <si>
    <t>BC228263H-000-001</t>
  </si>
  <si>
    <t>03-3024-3027</t>
  </si>
  <si>
    <t>3P008</t>
  </si>
  <si>
    <t>CB2283792-000-002</t>
  </si>
  <si>
    <t>05-110-113</t>
  </si>
  <si>
    <t>05-101-109</t>
  </si>
  <si>
    <t>DD-J10-61052-90-Z</t>
  </si>
  <si>
    <t>DD-J10-61052-110-Z</t>
  </si>
  <si>
    <t>DD-J10-61031-190</t>
  </si>
  <si>
    <t>06-36-37</t>
  </si>
  <si>
    <t>DD-J10-61031-940</t>
  </si>
  <si>
    <t>04-97-97</t>
  </si>
  <si>
    <t>DD-J10-61031-180</t>
  </si>
  <si>
    <t>04-15-17</t>
  </si>
  <si>
    <t>C6P004</t>
  </si>
  <si>
    <t>DD-J10-61041-610</t>
  </si>
  <si>
    <t>DD-J10-61052-210-Y</t>
  </si>
  <si>
    <t>07-11-15</t>
  </si>
  <si>
    <t>07-10-13</t>
  </si>
  <si>
    <t>DD-J10-61052-320/1</t>
  </si>
  <si>
    <t>04-15-20</t>
  </si>
  <si>
    <t>DD-J10-61052-430-Y</t>
  </si>
  <si>
    <t>DD-J10-61052-430-Z</t>
  </si>
  <si>
    <t>DD-J10B-94011-1110G2H</t>
  </si>
  <si>
    <t>07-1-12</t>
  </si>
  <si>
    <t>DD-J10-61052-440-Z</t>
  </si>
  <si>
    <t>DD-J10-61201-1120/1</t>
  </si>
  <si>
    <t>DD-J10-61201-1120/2</t>
  </si>
  <si>
    <t>C4P003</t>
  </si>
  <si>
    <t>DD-J10B-21102-280-Y</t>
  </si>
  <si>
    <t>DD-J10-61101-120</t>
  </si>
  <si>
    <t>CB2282564-000-003</t>
  </si>
  <si>
    <t>05-107-108</t>
  </si>
  <si>
    <t>CB2282562-000-003</t>
  </si>
  <si>
    <t>04-96-105</t>
  </si>
  <si>
    <t>05-106-115</t>
  </si>
  <si>
    <t>CB2282561-000-002</t>
  </si>
  <si>
    <t>05-115-123</t>
  </si>
  <si>
    <t>05-108-114</t>
  </si>
  <si>
    <t>DD-J10-61011-2110</t>
  </si>
  <si>
    <t>DD-J10-61101-140</t>
  </si>
  <si>
    <t>DD-J10-94011-240</t>
  </si>
  <si>
    <t>DD-J10-61021-180</t>
  </si>
  <si>
    <t>CB2283152-000-002</t>
  </si>
  <si>
    <t>04-97-102</t>
  </si>
  <si>
    <t>CB22827C6-000-003</t>
  </si>
  <si>
    <t>04-94-99</t>
  </si>
  <si>
    <t>CB2283151-000-002</t>
  </si>
  <si>
    <t>CB2285679-000L001</t>
  </si>
  <si>
    <t>04-91-95</t>
  </si>
  <si>
    <t>CB22852H3-000-001</t>
  </si>
  <si>
    <t>CB22837C2-000-001</t>
  </si>
  <si>
    <t>04-81-82</t>
  </si>
  <si>
    <t>CB2282567-000-003</t>
  </si>
  <si>
    <t>CB22823G2-000-001</t>
  </si>
  <si>
    <t>CB22827B2-000-002</t>
  </si>
  <si>
    <t>DD-J10B-94021-1110H</t>
  </si>
  <si>
    <t>6P010</t>
  </si>
  <si>
    <t>DD-J10S-61031-190</t>
  </si>
  <si>
    <t>04-17-22</t>
  </si>
  <si>
    <t>4P010</t>
  </si>
  <si>
    <t>DD-J10S-94051-1110</t>
  </si>
  <si>
    <t>BC2281652-000-007</t>
  </si>
  <si>
    <t>DD-J10S-94011-540-1H</t>
  </si>
  <si>
    <t>DD-J10S-61011-60</t>
  </si>
  <si>
    <t>04-93-93</t>
  </si>
  <si>
    <t>4P007</t>
  </si>
  <si>
    <t>04-94-94</t>
  </si>
  <si>
    <t>DD-J10-61031-90</t>
  </si>
  <si>
    <t>DD-J10-61041-220</t>
  </si>
  <si>
    <t>04-90-92</t>
  </si>
  <si>
    <t>DD-J10S-61011-700</t>
  </si>
  <si>
    <t>04-15-21</t>
  </si>
  <si>
    <t>BC22833A2-000-001</t>
  </si>
  <si>
    <t>CB221T3ML-000-002H</t>
  </si>
  <si>
    <t>04-91-94</t>
  </si>
  <si>
    <t>CB221T4LF-000-002H</t>
  </si>
  <si>
    <t>CB221T4LY-000-002H</t>
  </si>
  <si>
    <t>DD-J10S-61001-3890</t>
  </si>
  <si>
    <t>DD-J10-61052-150-Z</t>
  </si>
  <si>
    <t>07-1-19</t>
  </si>
  <si>
    <t>CB2285664-000-002</t>
  </si>
  <si>
    <t>04-95-100</t>
  </si>
  <si>
    <t>CB228455A-000-004</t>
  </si>
  <si>
    <t>05-111-114</t>
  </si>
  <si>
    <t>DD-J10S-94076-6040-1H</t>
  </si>
  <si>
    <t>05-101-103</t>
  </si>
  <si>
    <t>BC221T4MG-000-001</t>
  </si>
  <si>
    <t>01-21-21</t>
  </si>
  <si>
    <t>1P018</t>
  </si>
  <si>
    <t>01-18-27</t>
  </si>
  <si>
    <t>1P017</t>
  </si>
  <si>
    <t>04-94-96</t>
  </si>
  <si>
    <t>BC22823B5-000-001</t>
  </si>
  <si>
    <t>03-3016-3021</t>
  </si>
  <si>
    <t>BC22833C6-000-001</t>
  </si>
  <si>
    <t>03-3022-3027</t>
  </si>
  <si>
    <t>DD-J10B-94021-1090H</t>
  </si>
  <si>
    <t>6P013</t>
  </si>
  <si>
    <t>05-110-110</t>
  </si>
  <si>
    <t>CB228548B-000-001</t>
  </si>
  <si>
    <t>BC22833A5-000-001</t>
  </si>
  <si>
    <t>CB2285653-000R002</t>
  </si>
  <si>
    <t>05-109-114</t>
  </si>
  <si>
    <t>CB2283651-000L002</t>
  </si>
  <si>
    <t>5P002-1</t>
  </si>
  <si>
    <t>CB2285756-000-006</t>
  </si>
  <si>
    <t>04-93-95</t>
  </si>
  <si>
    <t>CB221T4MM-000-003H</t>
  </si>
  <si>
    <t>04-99-104</t>
  </si>
  <si>
    <t>BC22832E1-000-001</t>
  </si>
  <si>
    <t>CB2285762-000-003H</t>
  </si>
  <si>
    <t>05-113-113</t>
  </si>
  <si>
    <t>CB221T4LM-000-002H</t>
  </si>
  <si>
    <t>03-63-63</t>
  </si>
  <si>
    <t>3P007</t>
  </si>
  <si>
    <t>1P009</t>
  </si>
  <si>
    <t>1P011</t>
  </si>
  <si>
    <t>1P010</t>
  </si>
  <si>
    <t>DD-J10-61052-440-Y</t>
  </si>
  <si>
    <t>C4P004-1</t>
  </si>
  <si>
    <t>2021/1</t>
  </si>
  <si>
    <t>刘德运</t>
  </si>
  <si>
    <t>周靓</t>
  </si>
  <si>
    <t>李建宏</t>
  </si>
  <si>
    <t>梁文科</t>
  </si>
  <si>
    <t>樊晓龙</t>
  </si>
  <si>
    <t>杨峰</t>
  </si>
  <si>
    <t>邓长春</t>
  </si>
  <si>
    <t>龙涛</t>
  </si>
  <si>
    <t>曾礼杰</t>
  </si>
  <si>
    <t>邓学永</t>
  </si>
  <si>
    <t>刘强</t>
  </si>
  <si>
    <t>张翔（小）</t>
  </si>
  <si>
    <t>周虎</t>
  </si>
  <si>
    <t>杨磊</t>
  </si>
  <si>
    <t>高龙</t>
  </si>
  <si>
    <t>张华</t>
  </si>
  <si>
    <t>冯斌</t>
  </si>
  <si>
    <t>李红兵</t>
  </si>
  <si>
    <t>曾佳其</t>
  </si>
  <si>
    <t>张翔（大）</t>
  </si>
  <si>
    <t>陈开兵</t>
  </si>
  <si>
    <t>廖黔川</t>
  </si>
  <si>
    <t>杨海成</t>
  </si>
  <si>
    <t>成伟</t>
  </si>
  <si>
    <t>李茂</t>
  </si>
  <si>
    <t>杨建</t>
  </si>
  <si>
    <t>黄新生</t>
  </si>
  <si>
    <t>李勇</t>
  </si>
  <si>
    <r>
      <rPr>
        <sz val="11"/>
        <color theme="1"/>
        <rFont val="宋体"/>
        <family val="3"/>
        <charset val="134"/>
      </rPr>
      <t>CB2282751-000-001</t>
    </r>
  </si>
  <si>
    <t>行标签</t>
  </si>
  <si>
    <t>总计</t>
  </si>
  <si>
    <t>求和项:合格数量</t>
  </si>
  <si>
    <t>求和项:总工时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</si>
</sst>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0"/>
      <color theme="1"/>
      <name val="Times New Roman"/>
      <family val="2"/>
      <charset val="134"/>
    </font>
    <font>
      <sz val="9"/>
      <name val="Times New Roman"/>
      <family val="2"/>
      <charset val="134"/>
    </font>
    <font>
      <b/>
      <sz val="12"/>
      <color theme="1"/>
      <name val="宋体"/>
      <family val="3"/>
      <charset val="134"/>
    </font>
    <font>
      <b/>
      <sz val="11"/>
      <color theme="1"/>
      <name val="宋体"/>
      <family val="3"/>
      <charset val="134"/>
    </font>
    <font>
      <sz val="10"/>
      <color theme="1"/>
      <name val="宋体"/>
      <family val="3"/>
      <charset val="134"/>
    </font>
    <font>
      <sz val="11"/>
      <color rgb="FFFF0000"/>
      <name val="宋体"/>
      <family val="3"/>
      <charset val="134"/>
    </font>
    <font>
      <sz val="11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2" fillId="0" borderId="1" xfId="0" applyFont="1" applyFill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center" vertical="center" wrapText="1"/>
    </xf>
    <xf numFmtId="49" fontId="2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0" borderId="0" xfId="0" applyFont="1" applyFill="1">
      <alignment vertical="center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49" fontId="4" fillId="0" borderId="0" xfId="0" applyNumberFormat="1" applyFont="1" applyFill="1" applyAlignment="1">
      <alignment horizontal="center" vertical="center" wrapText="1"/>
    </xf>
    <xf numFmtId="14" fontId="4" fillId="0" borderId="0" xfId="0" applyNumberFormat="1" applyFont="1" applyFill="1" applyAlignment="1">
      <alignment horizontal="center" vertical="center"/>
    </xf>
    <xf numFmtId="49" fontId="4" fillId="0" borderId="0" xfId="0" applyNumberFormat="1" applyFont="1" applyFill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1&#24180;1&#26376;&#25104;&#26412;&#26680;&#31639;&#34920;-&#21452;&#27969;&#65288;&#30830;&#23450;&#65289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固定资产"/>
      <sheetName val="九院成本"/>
      <sheetName val="双流成本"/>
      <sheetName val="导管成本"/>
      <sheetName val="成飞半成品"/>
      <sheetName val="费用总表12月"/>
      <sheetName val="设备分摊"/>
      <sheetName val="车工"/>
      <sheetName val="铣工"/>
      <sheetName val="钳工"/>
      <sheetName val="准备工"/>
      <sheetName val="图号汇总"/>
      <sheetName val="图号分拆"/>
      <sheetName val="Sheet1"/>
      <sheetName val="Sheet2"/>
      <sheetName val="成本归集"/>
      <sheetName val="工资工时"/>
      <sheetName val="工种名单"/>
    </sheetNames>
    <sheetDataSet>
      <sheetData sheetId="0"/>
      <sheetData sheetId="1"/>
      <sheetData sheetId="2"/>
      <sheetData sheetId="3">
        <row r="3">
          <cell r="B3" t="str">
            <v>存货编码</v>
          </cell>
          <cell r="C3" t="str">
            <v>名称</v>
          </cell>
          <cell r="D3" t="str">
            <v>数量</v>
          </cell>
          <cell r="E3" t="str">
            <v>工时</v>
          </cell>
        </row>
        <row r="4">
          <cell r="B4" t="str">
            <v>BC221T1BB-000-001H</v>
          </cell>
          <cell r="C4" t="str">
            <v>钣铆</v>
          </cell>
          <cell r="D4">
            <v>5</v>
          </cell>
          <cell r="E4">
            <v>300</v>
          </cell>
        </row>
        <row r="5">
          <cell r="B5" t="str">
            <v>BC221T4MG-000-001</v>
          </cell>
          <cell r="C5" t="str">
            <v>钣铆</v>
          </cell>
          <cell r="D5">
            <v>3</v>
          </cell>
          <cell r="E5">
            <v>45</v>
          </cell>
        </row>
        <row r="6">
          <cell r="B6" t="str">
            <v>BC22811A3-000-001</v>
          </cell>
          <cell r="C6" t="str">
            <v>钣铆</v>
          </cell>
          <cell r="D6">
            <v>3</v>
          </cell>
          <cell r="E6">
            <v>54</v>
          </cell>
        </row>
        <row r="7">
          <cell r="B7" t="str">
            <v>BC2281632-000-001</v>
          </cell>
          <cell r="C7" t="str">
            <v>钣铆</v>
          </cell>
          <cell r="D7">
            <v>7</v>
          </cell>
          <cell r="E7">
            <v>39</v>
          </cell>
        </row>
        <row r="8">
          <cell r="B8" t="str">
            <v>BC2281633-000-001</v>
          </cell>
          <cell r="C8" t="str">
            <v>钣铆</v>
          </cell>
          <cell r="D8">
            <v>4</v>
          </cell>
          <cell r="E8">
            <v>96</v>
          </cell>
        </row>
        <row r="9">
          <cell r="B9" t="str">
            <v>BC2281634-000-001</v>
          </cell>
          <cell r="C9" t="str">
            <v>钣铆</v>
          </cell>
          <cell r="D9">
            <v>10</v>
          </cell>
          <cell r="E9">
            <v>36</v>
          </cell>
        </row>
        <row r="10">
          <cell r="B10" t="str">
            <v>BC2281652-000-007</v>
          </cell>
          <cell r="C10" t="str">
            <v>钣铆</v>
          </cell>
          <cell r="D10">
            <v>10</v>
          </cell>
          <cell r="E10">
            <v>40</v>
          </cell>
        </row>
        <row r="11">
          <cell r="B11" t="str">
            <v>BC2281658-000-005</v>
          </cell>
          <cell r="C11" t="str">
            <v>钣铆</v>
          </cell>
          <cell r="D11">
            <v>3</v>
          </cell>
          <cell r="E11">
            <v>27</v>
          </cell>
        </row>
        <row r="12">
          <cell r="B12" t="str">
            <v>BC228165C-000-003</v>
          </cell>
          <cell r="C12" t="str">
            <v>钣铆</v>
          </cell>
          <cell r="D12">
            <v>10</v>
          </cell>
          <cell r="E12">
            <v>90</v>
          </cell>
        </row>
        <row r="13">
          <cell r="B13" t="str">
            <v>BC22816Y2-000-002</v>
          </cell>
          <cell r="C13" t="str">
            <v>钣铆</v>
          </cell>
          <cell r="D13">
            <v>1</v>
          </cell>
          <cell r="E13">
            <v>15</v>
          </cell>
        </row>
        <row r="14">
          <cell r="B14" t="str">
            <v>BC22821A3-000-001</v>
          </cell>
          <cell r="C14" t="str">
            <v>钣铆</v>
          </cell>
          <cell r="D14">
            <v>1</v>
          </cell>
          <cell r="E14">
            <v>39</v>
          </cell>
        </row>
        <row r="15">
          <cell r="B15" t="str">
            <v>BC22822A1-000-001</v>
          </cell>
          <cell r="C15" t="str">
            <v>钣铆</v>
          </cell>
          <cell r="D15">
            <v>7</v>
          </cell>
          <cell r="E15">
            <v>42</v>
          </cell>
        </row>
        <row r="16">
          <cell r="B16" t="str">
            <v>BC22822B2-000-001</v>
          </cell>
          <cell r="C16" t="str">
            <v>钣铆</v>
          </cell>
          <cell r="D16">
            <v>1</v>
          </cell>
          <cell r="E16">
            <v>9</v>
          </cell>
        </row>
        <row r="17">
          <cell r="B17" t="str">
            <v>BC22822B5-000-001</v>
          </cell>
          <cell r="C17" t="str">
            <v>钣铆</v>
          </cell>
          <cell r="D17">
            <v>12</v>
          </cell>
          <cell r="E17">
            <v>36</v>
          </cell>
        </row>
        <row r="18">
          <cell r="B18" t="str">
            <v>BC22822F1-000-001</v>
          </cell>
          <cell r="C18" t="str">
            <v>钣铆</v>
          </cell>
          <cell r="D18">
            <v>5</v>
          </cell>
          <cell r="E18">
            <v>15</v>
          </cell>
        </row>
        <row r="19">
          <cell r="B19" t="str">
            <v>BC22822F2-000-001</v>
          </cell>
          <cell r="C19" t="str">
            <v>钣铆</v>
          </cell>
          <cell r="D19">
            <v>3</v>
          </cell>
          <cell r="E19">
            <v>27</v>
          </cell>
        </row>
        <row r="20">
          <cell r="B20" t="str">
            <v>BC22822F3-000-001</v>
          </cell>
          <cell r="C20" t="str">
            <v>钣铆</v>
          </cell>
          <cell r="D20">
            <v>6</v>
          </cell>
          <cell r="E20">
            <v>12</v>
          </cell>
        </row>
        <row r="21">
          <cell r="B21" t="str">
            <v>BC22823B5-000-001</v>
          </cell>
          <cell r="C21" t="str">
            <v>钣铆</v>
          </cell>
          <cell r="D21">
            <v>6</v>
          </cell>
          <cell r="E21">
            <v>18</v>
          </cell>
        </row>
        <row r="22">
          <cell r="B22" t="str">
            <v>BC228263H-000-001</v>
          </cell>
          <cell r="C22" t="str">
            <v>钣铆</v>
          </cell>
          <cell r="D22">
            <v>4</v>
          </cell>
          <cell r="E22">
            <v>16</v>
          </cell>
        </row>
        <row r="23">
          <cell r="B23" t="str">
            <v>BC22832E1-000-001</v>
          </cell>
          <cell r="C23" t="str">
            <v>钣铆</v>
          </cell>
          <cell r="D23">
            <v>6</v>
          </cell>
          <cell r="E23">
            <v>12</v>
          </cell>
        </row>
        <row r="24">
          <cell r="B24" t="str">
            <v>BC22832E2-000-001</v>
          </cell>
          <cell r="C24" t="str">
            <v>钣铆</v>
          </cell>
          <cell r="D24">
            <v>2</v>
          </cell>
          <cell r="E24">
            <v>42</v>
          </cell>
        </row>
        <row r="25">
          <cell r="B25" t="str">
            <v>BC22833A2-000-001</v>
          </cell>
          <cell r="C25" t="str">
            <v>钣铆</v>
          </cell>
          <cell r="D25">
            <v>7</v>
          </cell>
          <cell r="E25">
            <v>42</v>
          </cell>
        </row>
        <row r="26">
          <cell r="B26" t="str">
            <v>BC22833A5-000-001</v>
          </cell>
          <cell r="C26" t="str">
            <v>钣铆</v>
          </cell>
          <cell r="D26">
            <v>11</v>
          </cell>
          <cell r="E26">
            <v>33</v>
          </cell>
        </row>
        <row r="27">
          <cell r="B27" t="str">
            <v>BC22833A6-000-001</v>
          </cell>
          <cell r="C27" t="str">
            <v>钣铆</v>
          </cell>
          <cell r="D27">
            <v>8</v>
          </cell>
          <cell r="E27">
            <v>16</v>
          </cell>
        </row>
        <row r="28">
          <cell r="B28" t="str">
            <v>BC22833C6-000-001</v>
          </cell>
          <cell r="C28" t="str">
            <v>钣铆</v>
          </cell>
          <cell r="D28">
            <v>12</v>
          </cell>
          <cell r="E28">
            <v>48</v>
          </cell>
        </row>
        <row r="29">
          <cell r="B29" t="str">
            <v>BC22843C7-000-001</v>
          </cell>
          <cell r="C29" t="str">
            <v>钣铆</v>
          </cell>
          <cell r="D29">
            <v>1</v>
          </cell>
          <cell r="E29">
            <v>6</v>
          </cell>
        </row>
        <row r="30">
          <cell r="B30" t="str">
            <v>CB221T2LB-000-002H</v>
          </cell>
          <cell r="C30" t="str">
            <v>钣铆</v>
          </cell>
          <cell r="D30">
            <v>2</v>
          </cell>
          <cell r="E30">
            <v>48</v>
          </cell>
        </row>
        <row r="31">
          <cell r="B31" t="str">
            <v>CB221T2LC-000-002H</v>
          </cell>
          <cell r="C31" t="str">
            <v>钣铆</v>
          </cell>
          <cell r="D31">
            <v>14</v>
          </cell>
          <cell r="E31">
            <v>144</v>
          </cell>
        </row>
        <row r="32">
          <cell r="B32" t="str">
            <v>CB221T2LJ-000-002H</v>
          </cell>
          <cell r="C32" t="str">
            <v>钣铆</v>
          </cell>
          <cell r="D32">
            <v>7</v>
          </cell>
          <cell r="E32">
            <v>52</v>
          </cell>
        </row>
        <row r="33">
          <cell r="B33" t="str">
            <v>CB221T2LL-000-002H</v>
          </cell>
          <cell r="C33" t="str">
            <v>钣铆</v>
          </cell>
          <cell r="D33">
            <v>12</v>
          </cell>
          <cell r="E33">
            <v>36</v>
          </cell>
        </row>
        <row r="34">
          <cell r="B34" t="str">
            <v>CB221T2LM-000-002H</v>
          </cell>
          <cell r="C34" t="str">
            <v>钣铆</v>
          </cell>
          <cell r="D34">
            <v>22</v>
          </cell>
          <cell r="E34">
            <v>110</v>
          </cell>
        </row>
        <row r="35">
          <cell r="B35" t="str">
            <v>CB221T2LP-000-002H</v>
          </cell>
          <cell r="C35" t="str">
            <v>钣铆</v>
          </cell>
          <cell r="D35">
            <v>2</v>
          </cell>
          <cell r="E35">
            <v>42</v>
          </cell>
        </row>
        <row r="36">
          <cell r="B36" t="str">
            <v>CB221T2LU-000-002H</v>
          </cell>
          <cell r="C36" t="str">
            <v>钣铆</v>
          </cell>
          <cell r="D36">
            <v>5</v>
          </cell>
          <cell r="E36">
            <v>15</v>
          </cell>
        </row>
        <row r="37">
          <cell r="B37" t="str">
            <v>CB221T2MB-000-002H</v>
          </cell>
          <cell r="C37" t="str">
            <v>钣铆</v>
          </cell>
          <cell r="D37">
            <v>22</v>
          </cell>
          <cell r="E37">
            <v>144</v>
          </cell>
        </row>
        <row r="38">
          <cell r="B38" t="str">
            <v>CB221T3MB-000-002H</v>
          </cell>
          <cell r="C38" t="str">
            <v>钣铆</v>
          </cell>
          <cell r="D38">
            <v>3</v>
          </cell>
          <cell r="E38">
            <v>54</v>
          </cell>
        </row>
        <row r="39">
          <cell r="B39" t="str">
            <v>CB221T3ML-000-002H</v>
          </cell>
          <cell r="C39" t="str">
            <v>钣铆</v>
          </cell>
          <cell r="D39">
            <v>4</v>
          </cell>
          <cell r="E39">
            <v>12</v>
          </cell>
        </row>
        <row r="40">
          <cell r="B40" t="str">
            <v>CB221T4LF-000-002H</v>
          </cell>
          <cell r="C40" t="str">
            <v>钣铆</v>
          </cell>
          <cell r="D40">
            <v>10</v>
          </cell>
          <cell r="E40">
            <v>50</v>
          </cell>
        </row>
        <row r="41">
          <cell r="B41" t="str">
            <v>CB221T4LM-000-002H</v>
          </cell>
          <cell r="C41" t="str">
            <v>钣铆</v>
          </cell>
          <cell r="D41">
            <v>1</v>
          </cell>
          <cell r="E41">
            <v>18</v>
          </cell>
        </row>
        <row r="42">
          <cell r="B42" t="str">
            <v>CB221T4LY-000-002H</v>
          </cell>
          <cell r="C42" t="str">
            <v>钣铆</v>
          </cell>
          <cell r="D42">
            <v>9</v>
          </cell>
          <cell r="E42">
            <v>54</v>
          </cell>
        </row>
        <row r="43">
          <cell r="B43" t="str">
            <v>CB221T4MM-000-003H</v>
          </cell>
          <cell r="C43" t="str">
            <v>钣铆</v>
          </cell>
          <cell r="D43">
            <v>6</v>
          </cell>
          <cell r="E43">
            <v>18</v>
          </cell>
        </row>
        <row r="44">
          <cell r="B44" t="str">
            <v>CB221T4TA-000-001</v>
          </cell>
          <cell r="C44" t="str">
            <v>钣铆</v>
          </cell>
          <cell r="D44">
            <v>10</v>
          </cell>
          <cell r="E44">
            <v>80</v>
          </cell>
        </row>
        <row r="45">
          <cell r="B45" t="str">
            <v>CB221T5LA-000-002H</v>
          </cell>
          <cell r="C45" t="str">
            <v>钣铆</v>
          </cell>
          <cell r="D45">
            <v>16</v>
          </cell>
          <cell r="E45">
            <v>48</v>
          </cell>
        </row>
        <row r="46">
          <cell r="B46" t="str">
            <v>CB221T5LB-000-002H</v>
          </cell>
          <cell r="C46" t="str">
            <v>钣铆</v>
          </cell>
          <cell r="D46">
            <v>10</v>
          </cell>
          <cell r="E46">
            <v>60</v>
          </cell>
        </row>
        <row r="47">
          <cell r="B47" t="str">
            <v>CB221T5LD-000-002H</v>
          </cell>
          <cell r="C47" t="str">
            <v>钣铆</v>
          </cell>
          <cell r="D47">
            <v>5</v>
          </cell>
          <cell r="E47">
            <v>84</v>
          </cell>
        </row>
        <row r="48">
          <cell r="B48" t="str">
            <v>CB221T5LJ-000-002H</v>
          </cell>
          <cell r="C48" t="str">
            <v>钣铆</v>
          </cell>
          <cell r="D48">
            <v>4</v>
          </cell>
          <cell r="E48">
            <v>96</v>
          </cell>
        </row>
        <row r="49">
          <cell r="B49" t="str">
            <v>CB221T5LL-000-003H</v>
          </cell>
          <cell r="C49" t="str">
            <v>钣铆</v>
          </cell>
          <cell r="D49">
            <v>10</v>
          </cell>
          <cell r="E49">
            <v>154</v>
          </cell>
        </row>
        <row r="50">
          <cell r="B50" t="str">
            <v>CB2282162-000-001</v>
          </cell>
          <cell r="C50" t="str">
            <v>钣铆</v>
          </cell>
          <cell r="D50">
            <v>2</v>
          </cell>
          <cell r="E50">
            <v>18</v>
          </cell>
        </row>
        <row r="51">
          <cell r="B51" t="str">
            <v>CB2282292-000-001</v>
          </cell>
          <cell r="C51" t="str">
            <v>钣铆</v>
          </cell>
          <cell r="D51">
            <v>8</v>
          </cell>
          <cell r="E51">
            <v>32</v>
          </cell>
        </row>
        <row r="52">
          <cell r="B52" t="str">
            <v>CB22823G2-000-001</v>
          </cell>
          <cell r="C52" t="str">
            <v>钣铆</v>
          </cell>
          <cell r="D52">
            <v>15</v>
          </cell>
          <cell r="E52">
            <v>45</v>
          </cell>
        </row>
        <row r="53">
          <cell r="B53" t="str">
            <v>CB2282551-000-002</v>
          </cell>
          <cell r="C53" t="str">
            <v>钣铆</v>
          </cell>
          <cell r="D53">
            <v>7</v>
          </cell>
          <cell r="E53">
            <v>28</v>
          </cell>
        </row>
        <row r="54">
          <cell r="B54" t="str">
            <v>CB2282553-000-003</v>
          </cell>
          <cell r="C54" t="str">
            <v>钣铆</v>
          </cell>
          <cell r="D54">
            <v>7</v>
          </cell>
          <cell r="E54">
            <v>21</v>
          </cell>
        </row>
        <row r="55">
          <cell r="B55" t="str">
            <v>CB2282556-000-003</v>
          </cell>
          <cell r="C55" t="str">
            <v>钣铆</v>
          </cell>
          <cell r="D55">
            <v>4</v>
          </cell>
          <cell r="E55">
            <v>16</v>
          </cell>
        </row>
        <row r="56">
          <cell r="B56" t="str">
            <v>CB2282557-000-002</v>
          </cell>
          <cell r="C56" t="str">
            <v>钣铆</v>
          </cell>
          <cell r="D56">
            <v>22</v>
          </cell>
          <cell r="E56">
            <v>66</v>
          </cell>
        </row>
        <row r="57">
          <cell r="B57" t="str">
            <v>CB2282561-000-002</v>
          </cell>
          <cell r="C57" t="str">
            <v>钣铆</v>
          </cell>
          <cell r="D57">
            <v>14</v>
          </cell>
          <cell r="E57">
            <v>42</v>
          </cell>
        </row>
        <row r="58">
          <cell r="B58" t="str">
            <v>CB2282562-000-003</v>
          </cell>
          <cell r="C58" t="str">
            <v>钣铆</v>
          </cell>
          <cell r="D58">
            <v>20</v>
          </cell>
          <cell r="E58">
            <v>140</v>
          </cell>
        </row>
        <row r="59">
          <cell r="B59" t="str">
            <v>CB2282564-000-003</v>
          </cell>
          <cell r="C59" t="str">
            <v>钣铆</v>
          </cell>
          <cell r="D59">
            <v>10</v>
          </cell>
          <cell r="E59">
            <v>56</v>
          </cell>
        </row>
        <row r="60">
          <cell r="B60" t="str">
            <v>CB2282566-000-003</v>
          </cell>
          <cell r="C60" t="str">
            <v>钣铆</v>
          </cell>
          <cell r="D60">
            <v>18</v>
          </cell>
          <cell r="E60">
            <v>54</v>
          </cell>
        </row>
        <row r="61">
          <cell r="B61" t="str">
            <v>CB2282567-000-003</v>
          </cell>
          <cell r="C61" t="str">
            <v>钣铆</v>
          </cell>
          <cell r="D61">
            <v>10</v>
          </cell>
          <cell r="E61">
            <v>30</v>
          </cell>
        </row>
        <row r="62">
          <cell r="B62" t="str">
            <v>CB2282571-000-002</v>
          </cell>
          <cell r="C62" t="str">
            <v>钣铆</v>
          </cell>
          <cell r="D62">
            <v>22</v>
          </cell>
          <cell r="E62">
            <v>66</v>
          </cell>
        </row>
        <row r="63">
          <cell r="B63" t="str">
            <v>CB2282661-000L004</v>
          </cell>
          <cell r="C63" t="str">
            <v>钣铆</v>
          </cell>
          <cell r="D63">
            <v>26</v>
          </cell>
          <cell r="E63">
            <v>78</v>
          </cell>
        </row>
        <row r="64">
          <cell r="B64" t="str">
            <v>CB2282661-000R004</v>
          </cell>
          <cell r="C64" t="str">
            <v>钣铆</v>
          </cell>
          <cell r="D64">
            <v>20</v>
          </cell>
          <cell r="E64">
            <v>60</v>
          </cell>
        </row>
        <row r="65">
          <cell r="B65" t="str">
            <v>CB2282663-000L002</v>
          </cell>
          <cell r="C65" t="str">
            <v>钣铆</v>
          </cell>
          <cell r="D65">
            <v>24</v>
          </cell>
          <cell r="E65">
            <v>72</v>
          </cell>
        </row>
        <row r="66">
          <cell r="B66" t="str">
            <v>CB2282751-000-001</v>
          </cell>
          <cell r="C66" t="str">
            <v>钣铆</v>
          </cell>
          <cell r="D66">
            <v>16</v>
          </cell>
          <cell r="E66">
            <v>80</v>
          </cell>
        </row>
        <row r="67">
          <cell r="B67" t="str">
            <v>CB2282752-000-003</v>
          </cell>
          <cell r="C67" t="str">
            <v>钣铆</v>
          </cell>
          <cell r="D67">
            <v>6</v>
          </cell>
          <cell r="E67">
            <v>18</v>
          </cell>
        </row>
        <row r="68">
          <cell r="B68" t="str">
            <v>CB2282761-000-001</v>
          </cell>
          <cell r="C68" t="str">
            <v>钣铆</v>
          </cell>
          <cell r="D68">
            <v>6</v>
          </cell>
          <cell r="E68">
            <v>30</v>
          </cell>
        </row>
        <row r="69">
          <cell r="B69" t="str">
            <v>CB2282762-000-003</v>
          </cell>
          <cell r="C69" t="str">
            <v>钣铆</v>
          </cell>
          <cell r="D69">
            <v>22</v>
          </cell>
          <cell r="E69">
            <v>88</v>
          </cell>
        </row>
        <row r="70">
          <cell r="B70" t="str">
            <v>CB22827B2-000-002</v>
          </cell>
          <cell r="C70" t="str">
            <v>钣铆</v>
          </cell>
          <cell r="D70">
            <v>16</v>
          </cell>
          <cell r="E70">
            <v>64</v>
          </cell>
        </row>
        <row r="71">
          <cell r="B71" t="str">
            <v>CB22827B5-000-004</v>
          </cell>
          <cell r="C71" t="str">
            <v>钣铆</v>
          </cell>
          <cell r="D71">
            <v>22</v>
          </cell>
          <cell r="E71">
            <v>88</v>
          </cell>
        </row>
        <row r="72">
          <cell r="B72" t="str">
            <v>CB22827B8-000-007</v>
          </cell>
          <cell r="C72" t="str">
            <v>钣铆</v>
          </cell>
          <cell r="D72">
            <v>8</v>
          </cell>
          <cell r="E72">
            <v>84</v>
          </cell>
        </row>
        <row r="73">
          <cell r="B73" t="str">
            <v>CB22827C3-000-009</v>
          </cell>
          <cell r="C73" t="str">
            <v>钣铆</v>
          </cell>
          <cell r="D73">
            <v>6</v>
          </cell>
          <cell r="E73">
            <v>80</v>
          </cell>
        </row>
        <row r="74">
          <cell r="B74" t="str">
            <v>CB22827C6-000-003</v>
          </cell>
          <cell r="C74" t="str">
            <v>钣铆</v>
          </cell>
          <cell r="D74">
            <v>6</v>
          </cell>
          <cell r="E74">
            <v>30</v>
          </cell>
        </row>
        <row r="75">
          <cell r="B75" t="str">
            <v>CB2283151-000-002</v>
          </cell>
          <cell r="C75" t="str">
            <v>钣铆</v>
          </cell>
          <cell r="D75">
            <v>7</v>
          </cell>
          <cell r="E75">
            <v>49</v>
          </cell>
        </row>
        <row r="76">
          <cell r="B76" t="str">
            <v>CB2283152-000-002</v>
          </cell>
          <cell r="C76" t="str">
            <v>钣铆</v>
          </cell>
          <cell r="D76">
            <v>6</v>
          </cell>
          <cell r="E76">
            <v>36</v>
          </cell>
        </row>
        <row r="77">
          <cell r="B77" t="str">
            <v>CB2283154-000-001</v>
          </cell>
          <cell r="C77" t="str">
            <v>钣铆</v>
          </cell>
          <cell r="D77">
            <v>22</v>
          </cell>
          <cell r="E77">
            <v>66</v>
          </cell>
        </row>
        <row r="78">
          <cell r="B78" t="str">
            <v>CB22832G1-000-001</v>
          </cell>
          <cell r="C78" t="str">
            <v>钣铆</v>
          </cell>
          <cell r="D78">
            <v>2</v>
          </cell>
          <cell r="E78">
            <v>24</v>
          </cell>
        </row>
        <row r="79">
          <cell r="B79" t="str">
            <v>CB22832G2-000-001</v>
          </cell>
          <cell r="C79" t="str">
            <v>钣铆</v>
          </cell>
          <cell r="D79">
            <v>6</v>
          </cell>
          <cell r="E79">
            <v>40</v>
          </cell>
        </row>
        <row r="80">
          <cell r="B80" t="str">
            <v>CB22832G6-000-001</v>
          </cell>
          <cell r="C80" t="str">
            <v>钣铆</v>
          </cell>
          <cell r="D80">
            <v>22</v>
          </cell>
          <cell r="E80">
            <v>88</v>
          </cell>
        </row>
        <row r="81">
          <cell r="B81" t="str">
            <v>CB22832G7-000-001</v>
          </cell>
          <cell r="C81" t="str">
            <v>钣铆</v>
          </cell>
          <cell r="D81">
            <v>4</v>
          </cell>
          <cell r="E81">
            <v>12</v>
          </cell>
        </row>
        <row r="82">
          <cell r="B82" t="str">
            <v>CB22832G9-000-001</v>
          </cell>
          <cell r="C82" t="str">
            <v>钣铆</v>
          </cell>
          <cell r="D82">
            <v>2</v>
          </cell>
          <cell r="E82">
            <v>60</v>
          </cell>
        </row>
        <row r="83">
          <cell r="B83" t="str">
            <v>CB22833G2-000-001</v>
          </cell>
          <cell r="C83" t="str">
            <v>钣铆</v>
          </cell>
          <cell r="D83">
            <v>18</v>
          </cell>
          <cell r="E83">
            <v>54</v>
          </cell>
        </row>
        <row r="84">
          <cell r="B84" t="str">
            <v>CB2283452-000-001</v>
          </cell>
          <cell r="C84" t="str">
            <v>钣铆</v>
          </cell>
          <cell r="D84">
            <v>10</v>
          </cell>
          <cell r="E84">
            <v>30</v>
          </cell>
        </row>
        <row r="85">
          <cell r="B85" t="str">
            <v>CB2283454-000-002</v>
          </cell>
          <cell r="C85" t="str">
            <v>钣铆</v>
          </cell>
          <cell r="D85">
            <v>22</v>
          </cell>
          <cell r="E85">
            <v>110</v>
          </cell>
        </row>
        <row r="86">
          <cell r="B86" t="str">
            <v>CB2283455-000-001</v>
          </cell>
          <cell r="C86" t="str">
            <v>钣铆</v>
          </cell>
          <cell r="D86">
            <v>12</v>
          </cell>
          <cell r="E86">
            <v>36</v>
          </cell>
        </row>
        <row r="87">
          <cell r="B87" t="str">
            <v>CB2283456-000-001</v>
          </cell>
          <cell r="C87" t="str">
            <v>钣铆</v>
          </cell>
          <cell r="D87">
            <v>10</v>
          </cell>
          <cell r="E87">
            <v>50</v>
          </cell>
        </row>
        <row r="88">
          <cell r="B88" t="str">
            <v>CB2283462-000-001</v>
          </cell>
          <cell r="C88" t="str">
            <v>钣铆</v>
          </cell>
          <cell r="D88">
            <v>22</v>
          </cell>
          <cell r="E88">
            <v>88</v>
          </cell>
        </row>
        <row r="89">
          <cell r="B89" t="str">
            <v>CB2283465-000-001</v>
          </cell>
          <cell r="C89" t="str">
            <v>钣铆</v>
          </cell>
          <cell r="D89">
            <v>10</v>
          </cell>
          <cell r="E89">
            <v>42</v>
          </cell>
        </row>
        <row r="90">
          <cell r="B90" t="str">
            <v>CB2283651-000L002</v>
          </cell>
          <cell r="C90" t="str">
            <v>钣铆</v>
          </cell>
          <cell r="D90">
            <v>1</v>
          </cell>
          <cell r="E90">
            <v>4</v>
          </cell>
        </row>
        <row r="91">
          <cell r="B91" t="str">
            <v>CB2283661-000L001</v>
          </cell>
          <cell r="C91" t="str">
            <v>钣铆</v>
          </cell>
          <cell r="D91">
            <v>22</v>
          </cell>
          <cell r="E91">
            <v>110</v>
          </cell>
        </row>
        <row r="92">
          <cell r="B92" t="str">
            <v>CB2283661-000R001</v>
          </cell>
          <cell r="C92" t="str">
            <v>钣铆</v>
          </cell>
          <cell r="D92">
            <v>22</v>
          </cell>
          <cell r="E92">
            <v>110</v>
          </cell>
        </row>
        <row r="93">
          <cell r="B93" t="str">
            <v>CB2283664-000L002</v>
          </cell>
          <cell r="C93" t="str">
            <v>钣铆</v>
          </cell>
          <cell r="D93">
            <v>21</v>
          </cell>
          <cell r="E93">
            <v>84</v>
          </cell>
        </row>
        <row r="94">
          <cell r="B94" t="str">
            <v>CB2283666-000L003</v>
          </cell>
          <cell r="C94" t="str">
            <v>钣铆</v>
          </cell>
          <cell r="D94">
            <v>3</v>
          </cell>
          <cell r="E94">
            <v>27</v>
          </cell>
        </row>
        <row r="95">
          <cell r="B95" t="str">
            <v>CB2283791-000-002</v>
          </cell>
          <cell r="C95" t="str">
            <v>钣铆</v>
          </cell>
          <cell r="D95">
            <v>2</v>
          </cell>
          <cell r="E95">
            <v>84</v>
          </cell>
        </row>
        <row r="96">
          <cell r="B96" t="str">
            <v>CB2283792-000-002</v>
          </cell>
          <cell r="C96" t="str">
            <v>钣铆</v>
          </cell>
          <cell r="D96">
            <v>13</v>
          </cell>
          <cell r="E96">
            <v>65</v>
          </cell>
        </row>
        <row r="97">
          <cell r="B97" t="str">
            <v>CB22837C1-000-001</v>
          </cell>
          <cell r="C97" t="str">
            <v>钣铆</v>
          </cell>
          <cell r="D97">
            <v>14</v>
          </cell>
          <cell r="E97">
            <v>84</v>
          </cell>
        </row>
        <row r="98">
          <cell r="B98" t="str">
            <v>CB22837C2-000-001</v>
          </cell>
          <cell r="C98" t="str">
            <v>钣铆</v>
          </cell>
          <cell r="D98">
            <v>9</v>
          </cell>
          <cell r="E98">
            <v>91</v>
          </cell>
        </row>
        <row r="99">
          <cell r="B99" t="str">
            <v>CB22837C3-000-001</v>
          </cell>
          <cell r="C99" t="str">
            <v>钣铆</v>
          </cell>
          <cell r="D99">
            <v>23</v>
          </cell>
          <cell r="E99">
            <v>81</v>
          </cell>
        </row>
        <row r="100">
          <cell r="B100" t="str">
            <v>CB228455A-000-004</v>
          </cell>
          <cell r="C100" t="str">
            <v>钣铆</v>
          </cell>
          <cell r="D100">
            <v>6</v>
          </cell>
          <cell r="E100">
            <v>24</v>
          </cell>
        </row>
        <row r="101">
          <cell r="B101" t="str">
            <v>CB22852G5-000-001</v>
          </cell>
          <cell r="C101" t="str">
            <v>钣铆</v>
          </cell>
          <cell r="D101">
            <v>19</v>
          </cell>
          <cell r="E101">
            <v>57</v>
          </cell>
        </row>
        <row r="102">
          <cell r="B102" t="str">
            <v>CB22852H3-000-001</v>
          </cell>
          <cell r="C102" t="str">
            <v>钣铆</v>
          </cell>
          <cell r="D102">
            <v>6</v>
          </cell>
          <cell r="E102">
            <v>54</v>
          </cell>
        </row>
        <row r="103">
          <cell r="B103" t="str">
            <v>CB22853H2-000-001</v>
          </cell>
          <cell r="C103" t="str">
            <v>钣铆</v>
          </cell>
          <cell r="D103">
            <v>21</v>
          </cell>
          <cell r="E103">
            <v>63</v>
          </cell>
        </row>
        <row r="104">
          <cell r="B104" t="str">
            <v>CB22853H3-000-001</v>
          </cell>
          <cell r="C104" t="str">
            <v>钣铆</v>
          </cell>
          <cell r="D104">
            <v>10</v>
          </cell>
          <cell r="E104">
            <v>60</v>
          </cell>
        </row>
        <row r="105">
          <cell r="B105" t="str">
            <v>CB22853H4-000-001</v>
          </cell>
          <cell r="C105" t="str">
            <v>钣铆</v>
          </cell>
          <cell r="D105">
            <v>10</v>
          </cell>
          <cell r="E105">
            <v>40</v>
          </cell>
        </row>
        <row r="106">
          <cell r="B106" t="str">
            <v>CB228545B-000-001</v>
          </cell>
          <cell r="C106" t="str">
            <v>钣铆</v>
          </cell>
          <cell r="D106">
            <v>15</v>
          </cell>
          <cell r="E106">
            <v>45</v>
          </cell>
        </row>
        <row r="107">
          <cell r="B107" t="str">
            <v>CB228545C-000-001</v>
          </cell>
          <cell r="C107" t="str">
            <v>钣铆</v>
          </cell>
          <cell r="D107">
            <v>2</v>
          </cell>
          <cell r="E107">
            <v>18</v>
          </cell>
        </row>
        <row r="108">
          <cell r="B108" t="str">
            <v>CB228545F-000-001</v>
          </cell>
          <cell r="C108" t="str">
            <v>钣铆</v>
          </cell>
          <cell r="D108">
            <v>18</v>
          </cell>
          <cell r="E108">
            <v>72</v>
          </cell>
        </row>
        <row r="109">
          <cell r="B109" t="str">
            <v>CB2285461-000-002</v>
          </cell>
          <cell r="C109" t="str">
            <v>钣铆</v>
          </cell>
          <cell r="D109">
            <v>22</v>
          </cell>
          <cell r="E109">
            <v>66</v>
          </cell>
        </row>
        <row r="110">
          <cell r="B110" t="str">
            <v>CB2285462-000-002</v>
          </cell>
          <cell r="C110" t="str">
            <v>钣铆</v>
          </cell>
          <cell r="D110">
            <v>22</v>
          </cell>
          <cell r="E110">
            <v>88</v>
          </cell>
        </row>
        <row r="111">
          <cell r="B111" t="str">
            <v>CB2285464-000-002</v>
          </cell>
          <cell r="C111" t="str">
            <v>钣铆</v>
          </cell>
          <cell r="D111">
            <v>22</v>
          </cell>
          <cell r="E111">
            <v>66</v>
          </cell>
        </row>
        <row r="112">
          <cell r="B112" t="str">
            <v>CB2285465-000-002</v>
          </cell>
          <cell r="C112" t="str">
            <v>钣铆</v>
          </cell>
          <cell r="D112">
            <v>21</v>
          </cell>
          <cell r="E112">
            <v>84</v>
          </cell>
        </row>
        <row r="113">
          <cell r="B113" t="str">
            <v>CB2285472-000-002</v>
          </cell>
          <cell r="C113" t="str">
            <v>钣铆</v>
          </cell>
          <cell r="D113">
            <v>11</v>
          </cell>
          <cell r="E113">
            <v>68</v>
          </cell>
        </row>
        <row r="114">
          <cell r="B114" t="str">
            <v>CB2285476-000-001</v>
          </cell>
          <cell r="C114" t="str">
            <v>钣铆</v>
          </cell>
          <cell r="D114">
            <v>7</v>
          </cell>
          <cell r="E114">
            <v>21</v>
          </cell>
        </row>
        <row r="115">
          <cell r="B115" t="str">
            <v>CB2285477-000-001</v>
          </cell>
          <cell r="C115" t="str">
            <v>钣铆</v>
          </cell>
          <cell r="D115">
            <v>15</v>
          </cell>
          <cell r="E115">
            <v>45</v>
          </cell>
        </row>
        <row r="116">
          <cell r="B116" t="str">
            <v>CB2285479-000-001</v>
          </cell>
          <cell r="C116" t="str">
            <v>钣铆</v>
          </cell>
          <cell r="D116">
            <v>22</v>
          </cell>
          <cell r="E116">
            <v>66</v>
          </cell>
        </row>
        <row r="117">
          <cell r="B117" t="str">
            <v>CB228547B-000-001</v>
          </cell>
          <cell r="C117" t="str">
            <v>钣铆</v>
          </cell>
          <cell r="D117">
            <v>10</v>
          </cell>
          <cell r="E117">
            <v>30</v>
          </cell>
        </row>
        <row r="118">
          <cell r="B118" t="str">
            <v>CB228547C-000-001</v>
          </cell>
          <cell r="C118" t="str">
            <v>钣铆</v>
          </cell>
          <cell r="D118">
            <v>22</v>
          </cell>
          <cell r="E118">
            <v>66</v>
          </cell>
        </row>
        <row r="119">
          <cell r="B119" t="str">
            <v>CB228548B-000-001</v>
          </cell>
          <cell r="C119" t="str">
            <v>钣铆</v>
          </cell>
          <cell r="D119">
            <v>4</v>
          </cell>
          <cell r="E119">
            <v>48</v>
          </cell>
        </row>
        <row r="120">
          <cell r="B120" t="str">
            <v>CB2285652-000L002</v>
          </cell>
          <cell r="C120" t="str">
            <v>钣铆</v>
          </cell>
          <cell r="D120">
            <v>10</v>
          </cell>
          <cell r="E120">
            <v>30</v>
          </cell>
        </row>
        <row r="121">
          <cell r="B121" t="str">
            <v>CB2285652-000R002</v>
          </cell>
          <cell r="C121" t="str">
            <v>钣铆</v>
          </cell>
          <cell r="D121">
            <v>10</v>
          </cell>
          <cell r="E121">
            <v>40</v>
          </cell>
        </row>
        <row r="122">
          <cell r="B122" t="str">
            <v>CB2285653-000L002</v>
          </cell>
          <cell r="C122" t="str">
            <v>钣铆</v>
          </cell>
          <cell r="D122">
            <v>7</v>
          </cell>
          <cell r="E122">
            <v>21</v>
          </cell>
        </row>
        <row r="123">
          <cell r="B123" t="str">
            <v>CB2285653-000R002</v>
          </cell>
          <cell r="C123" t="str">
            <v>钣铆</v>
          </cell>
          <cell r="D123">
            <v>21</v>
          </cell>
          <cell r="E123">
            <v>63</v>
          </cell>
        </row>
        <row r="124">
          <cell r="B124" t="str">
            <v>CB2285663-000L002</v>
          </cell>
          <cell r="C124" t="str">
            <v>钣铆</v>
          </cell>
          <cell r="D124">
            <v>10</v>
          </cell>
          <cell r="E124">
            <v>30</v>
          </cell>
        </row>
        <row r="125">
          <cell r="B125" t="str">
            <v>CB2285663-000R002</v>
          </cell>
          <cell r="C125" t="str">
            <v>钣铆</v>
          </cell>
          <cell r="D125">
            <v>10</v>
          </cell>
          <cell r="E125">
            <v>30</v>
          </cell>
        </row>
        <row r="126">
          <cell r="B126" t="str">
            <v>CB2285664-000-002</v>
          </cell>
          <cell r="C126" t="str">
            <v>钣铆</v>
          </cell>
          <cell r="D126">
            <v>16</v>
          </cell>
          <cell r="E126">
            <v>48</v>
          </cell>
        </row>
        <row r="127">
          <cell r="B127" t="str">
            <v>CB2285679-000L001</v>
          </cell>
          <cell r="C127" t="str">
            <v>钣铆</v>
          </cell>
          <cell r="D127">
            <v>5</v>
          </cell>
          <cell r="E127">
            <v>10</v>
          </cell>
        </row>
        <row r="128">
          <cell r="B128" t="str">
            <v>CB2285756-000-006</v>
          </cell>
          <cell r="C128" t="str">
            <v>钣铆</v>
          </cell>
          <cell r="D128">
            <v>3</v>
          </cell>
          <cell r="E128">
            <v>27</v>
          </cell>
        </row>
        <row r="129">
          <cell r="B129" t="str">
            <v>CB2285762-000-003H</v>
          </cell>
          <cell r="C129" t="str">
            <v>钣铆</v>
          </cell>
          <cell r="D129">
            <v>4</v>
          </cell>
          <cell r="E129">
            <v>28</v>
          </cell>
        </row>
        <row r="130">
          <cell r="B130" t="str">
            <v>CB22857B1-000-003</v>
          </cell>
          <cell r="C130" t="str">
            <v>钣铆</v>
          </cell>
          <cell r="D130">
            <v>4</v>
          </cell>
          <cell r="E130">
            <v>96</v>
          </cell>
        </row>
        <row r="131">
          <cell r="B131" t="str">
            <v>CB22857F5-000-003</v>
          </cell>
          <cell r="C131" t="str">
            <v>钣铆</v>
          </cell>
          <cell r="D131">
            <v>12</v>
          </cell>
          <cell r="E131">
            <v>84</v>
          </cell>
        </row>
        <row r="132">
          <cell r="B132" t="str">
            <v>CB22857G4-000-001</v>
          </cell>
          <cell r="C132" t="str">
            <v>钣铆</v>
          </cell>
          <cell r="D132">
            <v>21</v>
          </cell>
          <cell r="E132">
            <v>63</v>
          </cell>
        </row>
        <row r="133">
          <cell r="B133" t="str">
            <v>CB22857H1-000-002</v>
          </cell>
          <cell r="C133" t="str">
            <v>钣铆</v>
          </cell>
          <cell r="D133">
            <v>2</v>
          </cell>
          <cell r="E133">
            <v>24</v>
          </cell>
        </row>
        <row r="134">
          <cell r="B134" t="str">
            <v>CB22857H8-000-005</v>
          </cell>
          <cell r="C134" t="str">
            <v>钣铆</v>
          </cell>
          <cell r="D134">
            <v>5</v>
          </cell>
          <cell r="E134">
            <v>35</v>
          </cell>
        </row>
        <row r="135">
          <cell r="B135" t="str">
            <v>CB2747B10-001-002H</v>
          </cell>
          <cell r="C135" t="str">
            <v>钣铆</v>
          </cell>
          <cell r="D135">
            <v>10</v>
          </cell>
          <cell r="E135">
            <v>120</v>
          </cell>
        </row>
        <row r="136">
          <cell r="B136" t="str">
            <v>DD-J10-05076-90-Z</v>
          </cell>
          <cell r="C136" t="str">
            <v>钣铆</v>
          </cell>
          <cell r="D136">
            <v>15</v>
          </cell>
          <cell r="E136">
            <v>150</v>
          </cell>
        </row>
        <row r="137">
          <cell r="B137" t="str">
            <v>DD-J10-61001-1830/1</v>
          </cell>
          <cell r="C137" t="str">
            <v>钣铆</v>
          </cell>
          <cell r="D137">
            <v>12</v>
          </cell>
          <cell r="E137">
            <v>48</v>
          </cell>
        </row>
        <row r="138">
          <cell r="B138" t="str">
            <v>DD-J10-61001-1840/2</v>
          </cell>
          <cell r="C138" t="str">
            <v>钣铆</v>
          </cell>
          <cell r="D138">
            <v>10</v>
          </cell>
          <cell r="E138">
            <v>41</v>
          </cell>
        </row>
        <row r="139">
          <cell r="B139" t="str">
            <v>DD-J10-61001-1860/1</v>
          </cell>
          <cell r="C139" t="str">
            <v>钣铆</v>
          </cell>
          <cell r="D139">
            <v>2</v>
          </cell>
          <cell r="E139">
            <v>30.599999999999998</v>
          </cell>
        </row>
        <row r="140">
          <cell r="B140" t="str">
            <v>DD-J10-61001-1870/1</v>
          </cell>
          <cell r="C140" t="str">
            <v>钣铆</v>
          </cell>
          <cell r="D140">
            <v>19</v>
          </cell>
          <cell r="E140">
            <v>114</v>
          </cell>
        </row>
        <row r="141">
          <cell r="B141" t="str">
            <v>DD-J10-61001-1880/1</v>
          </cell>
          <cell r="C141" t="str">
            <v>钣铆</v>
          </cell>
          <cell r="D141">
            <v>20</v>
          </cell>
          <cell r="E141">
            <v>50</v>
          </cell>
        </row>
        <row r="142">
          <cell r="B142" t="str">
            <v>DD-J10-61011-2110</v>
          </cell>
          <cell r="C142" t="str">
            <v>钣铆</v>
          </cell>
          <cell r="D142">
            <v>9</v>
          </cell>
          <cell r="E142">
            <v>31.5</v>
          </cell>
        </row>
        <row r="143">
          <cell r="B143" t="str">
            <v>DD-J10-61011-2120</v>
          </cell>
          <cell r="C143" t="str">
            <v>钣铆</v>
          </cell>
          <cell r="D143">
            <v>9</v>
          </cell>
          <cell r="E143">
            <v>18</v>
          </cell>
        </row>
        <row r="144">
          <cell r="B144" t="str">
            <v>DD-J10-61021-120</v>
          </cell>
          <cell r="C144" t="str">
            <v>钣铆</v>
          </cell>
          <cell r="D144">
            <v>1</v>
          </cell>
          <cell r="E144">
            <v>9</v>
          </cell>
        </row>
        <row r="145">
          <cell r="B145" t="str">
            <v>DD-J10-61021-130</v>
          </cell>
          <cell r="C145" t="str">
            <v>钣铆</v>
          </cell>
          <cell r="D145">
            <v>18</v>
          </cell>
          <cell r="E145">
            <v>72</v>
          </cell>
        </row>
        <row r="146">
          <cell r="B146" t="str">
            <v>DD-J10-61021-140</v>
          </cell>
          <cell r="C146" t="str">
            <v>钣铆</v>
          </cell>
          <cell r="D146">
            <v>8</v>
          </cell>
          <cell r="E146">
            <v>24</v>
          </cell>
        </row>
        <row r="147">
          <cell r="B147" t="str">
            <v>DD-J10-61021-150</v>
          </cell>
          <cell r="C147" t="str">
            <v>钣铆</v>
          </cell>
          <cell r="D147">
            <v>24</v>
          </cell>
          <cell r="E147">
            <v>96</v>
          </cell>
        </row>
        <row r="148">
          <cell r="B148" t="str">
            <v>DD-J10-61021-180</v>
          </cell>
          <cell r="C148" t="str">
            <v>钣铆</v>
          </cell>
          <cell r="D148">
            <v>5</v>
          </cell>
          <cell r="E148">
            <v>10</v>
          </cell>
        </row>
        <row r="149">
          <cell r="B149" t="str">
            <v>DD-J10-61021-50</v>
          </cell>
          <cell r="C149" t="str">
            <v>钣铆</v>
          </cell>
          <cell r="D149">
            <v>8</v>
          </cell>
          <cell r="E149">
            <v>64</v>
          </cell>
        </row>
        <row r="150">
          <cell r="B150" t="str">
            <v>DD-J10-61021-60</v>
          </cell>
          <cell r="C150" t="str">
            <v>钣铆</v>
          </cell>
          <cell r="D150">
            <v>8</v>
          </cell>
          <cell r="E150">
            <v>54</v>
          </cell>
        </row>
        <row r="151">
          <cell r="B151" t="str">
            <v>DD-J10-61031-120</v>
          </cell>
          <cell r="C151" t="str">
            <v>钣铆</v>
          </cell>
          <cell r="D151">
            <v>12</v>
          </cell>
          <cell r="E151">
            <v>32</v>
          </cell>
        </row>
        <row r="152">
          <cell r="B152" t="str">
            <v>DD-J10-61031-130</v>
          </cell>
          <cell r="C152" t="str">
            <v>钣铆</v>
          </cell>
          <cell r="D152">
            <v>20</v>
          </cell>
          <cell r="E152">
            <v>80</v>
          </cell>
        </row>
        <row r="153">
          <cell r="B153" t="str">
            <v>DD-J10-61031-150</v>
          </cell>
          <cell r="C153" t="str">
            <v>钣铆</v>
          </cell>
          <cell r="D153">
            <v>2</v>
          </cell>
          <cell r="E153">
            <v>18</v>
          </cell>
        </row>
        <row r="154">
          <cell r="B154" t="str">
            <v>DD-J10-61031-180</v>
          </cell>
          <cell r="C154" t="str">
            <v>钣铆</v>
          </cell>
          <cell r="D154">
            <v>3</v>
          </cell>
          <cell r="E154">
            <v>31.5</v>
          </cell>
        </row>
        <row r="155">
          <cell r="B155" t="str">
            <v>DD-J10-61031-190</v>
          </cell>
          <cell r="C155" t="str">
            <v>钣铆</v>
          </cell>
          <cell r="D155">
            <v>2</v>
          </cell>
          <cell r="E155">
            <v>66</v>
          </cell>
        </row>
        <row r="156">
          <cell r="B156" t="str">
            <v>DD-J10-61031-50</v>
          </cell>
          <cell r="C156" t="str">
            <v>钣铆</v>
          </cell>
          <cell r="D156">
            <v>10</v>
          </cell>
          <cell r="E156">
            <v>30</v>
          </cell>
        </row>
        <row r="157">
          <cell r="B157" t="str">
            <v>DD-J10-61031-60</v>
          </cell>
          <cell r="C157" t="str">
            <v>钣铆</v>
          </cell>
          <cell r="D157">
            <v>6</v>
          </cell>
          <cell r="E157">
            <v>24</v>
          </cell>
        </row>
        <row r="158">
          <cell r="B158" t="str">
            <v>DD-J10-61031-70</v>
          </cell>
          <cell r="C158" t="str">
            <v>钣铆</v>
          </cell>
          <cell r="D158">
            <v>20</v>
          </cell>
          <cell r="E158">
            <v>50</v>
          </cell>
        </row>
        <row r="159">
          <cell r="B159" t="str">
            <v>DD-J10-61031-90</v>
          </cell>
          <cell r="C159" t="str">
            <v>钣铆</v>
          </cell>
          <cell r="D159">
            <v>8</v>
          </cell>
          <cell r="E159">
            <v>24</v>
          </cell>
        </row>
        <row r="160">
          <cell r="B160" t="str">
            <v>DD-J10-61031-920</v>
          </cell>
          <cell r="C160" t="str">
            <v>钣铆</v>
          </cell>
          <cell r="D160">
            <v>20</v>
          </cell>
          <cell r="E160">
            <v>40</v>
          </cell>
        </row>
        <row r="161">
          <cell r="B161" t="str">
            <v>DD-J10-61031-930</v>
          </cell>
          <cell r="C161" t="str">
            <v>钣铆</v>
          </cell>
          <cell r="D161">
            <v>2</v>
          </cell>
          <cell r="E161">
            <v>12</v>
          </cell>
        </row>
        <row r="162">
          <cell r="B162" t="str">
            <v>DD-J10-61031-940</v>
          </cell>
          <cell r="C162" t="str">
            <v>钣铆</v>
          </cell>
          <cell r="D162">
            <v>8</v>
          </cell>
          <cell r="E162">
            <v>16</v>
          </cell>
        </row>
        <row r="163">
          <cell r="B163" t="str">
            <v>DD-J10-61041-130</v>
          </cell>
          <cell r="C163" t="str">
            <v>钣铆</v>
          </cell>
          <cell r="D163">
            <v>19</v>
          </cell>
          <cell r="E163">
            <v>47.5</v>
          </cell>
        </row>
        <row r="164">
          <cell r="B164" t="str">
            <v>DD-J10-61041-150</v>
          </cell>
          <cell r="C164" t="str">
            <v>钣铆</v>
          </cell>
          <cell r="D164">
            <v>20</v>
          </cell>
          <cell r="E164">
            <v>50</v>
          </cell>
        </row>
        <row r="165">
          <cell r="B165" t="str">
            <v>DD-J10-61041-170</v>
          </cell>
          <cell r="C165" t="str">
            <v>钣铆</v>
          </cell>
          <cell r="D165">
            <v>7</v>
          </cell>
          <cell r="E165">
            <v>21</v>
          </cell>
        </row>
        <row r="166">
          <cell r="B166" t="str">
            <v>DD-J10-61041-220</v>
          </cell>
          <cell r="C166" t="str">
            <v>钣铆</v>
          </cell>
          <cell r="D166">
            <v>6</v>
          </cell>
          <cell r="E166">
            <v>18</v>
          </cell>
        </row>
        <row r="167">
          <cell r="B167" t="str">
            <v>DD-J10-61041-280</v>
          </cell>
          <cell r="C167" t="str">
            <v>钣铆</v>
          </cell>
          <cell r="D167">
            <v>23</v>
          </cell>
          <cell r="E167">
            <v>72.5</v>
          </cell>
        </row>
        <row r="168">
          <cell r="B168" t="str">
            <v>DD-J10-61041-320</v>
          </cell>
          <cell r="C168" t="str">
            <v>钣铆</v>
          </cell>
          <cell r="D168">
            <v>20</v>
          </cell>
          <cell r="E168">
            <v>40</v>
          </cell>
        </row>
        <row r="169">
          <cell r="B169" t="str">
            <v>DD-J10-61041-330</v>
          </cell>
          <cell r="C169" t="str">
            <v>钣铆</v>
          </cell>
          <cell r="D169">
            <v>10</v>
          </cell>
          <cell r="E169">
            <v>20</v>
          </cell>
        </row>
        <row r="170">
          <cell r="B170" t="str">
            <v>DD-J10-61041-610</v>
          </cell>
          <cell r="C170" t="str">
            <v>钣铆</v>
          </cell>
          <cell r="D170">
            <v>20</v>
          </cell>
          <cell r="E170">
            <v>80</v>
          </cell>
        </row>
        <row r="171">
          <cell r="B171" t="str">
            <v>DD-J10-61041-620</v>
          </cell>
          <cell r="C171" t="str">
            <v>钣铆</v>
          </cell>
          <cell r="D171">
            <v>10</v>
          </cell>
          <cell r="E171">
            <v>23</v>
          </cell>
        </row>
        <row r="172">
          <cell r="B172" t="str">
            <v>DD-J10-61041-630</v>
          </cell>
          <cell r="C172" t="str">
            <v>钣铆</v>
          </cell>
          <cell r="D172">
            <v>12</v>
          </cell>
          <cell r="E172">
            <v>30</v>
          </cell>
        </row>
        <row r="173">
          <cell r="B173" t="str">
            <v>DD-J10-61052-110-Z</v>
          </cell>
          <cell r="C173" t="str">
            <v>钣铆</v>
          </cell>
          <cell r="D173">
            <v>10</v>
          </cell>
          <cell r="E173">
            <v>30</v>
          </cell>
        </row>
        <row r="174">
          <cell r="B174" t="str">
            <v>DD-J10-61052-130-Y</v>
          </cell>
          <cell r="C174" t="str">
            <v>钣铆</v>
          </cell>
          <cell r="D174">
            <v>29</v>
          </cell>
          <cell r="E174">
            <v>122.5</v>
          </cell>
        </row>
        <row r="175">
          <cell r="B175" t="str">
            <v>DD-J10-61052-150-Z</v>
          </cell>
          <cell r="C175" t="str">
            <v>钣铆</v>
          </cell>
          <cell r="D175">
            <v>9</v>
          </cell>
          <cell r="E175">
            <v>36</v>
          </cell>
        </row>
        <row r="176">
          <cell r="B176" t="str">
            <v>DD-J10-61052-190-Y</v>
          </cell>
          <cell r="C176" t="str">
            <v>钣铆</v>
          </cell>
          <cell r="D176">
            <v>10</v>
          </cell>
          <cell r="E176">
            <v>60</v>
          </cell>
        </row>
        <row r="177">
          <cell r="B177" t="str">
            <v>DD-J10-61052-190-Z</v>
          </cell>
          <cell r="C177" t="str">
            <v>钣铆</v>
          </cell>
          <cell r="D177">
            <v>8</v>
          </cell>
          <cell r="E177">
            <v>56</v>
          </cell>
        </row>
        <row r="178">
          <cell r="B178" t="str">
            <v>DD-J10-61052-210-Y</v>
          </cell>
          <cell r="C178" t="str">
            <v>钣铆</v>
          </cell>
          <cell r="D178">
            <v>4</v>
          </cell>
          <cell r="E178">
            <v>10</v>
          </cell>
        </row>
        <row r="179">
          <cell r="B179" t="str">
            <v>DD-J10-61052-210-Z</v>
          </cell>
          <cell r="C179" t="str">
            <v>钣铆</v>
          </cell>
          <cell r="D179">
            <v>11</v>
          </cell>
          <cell r="E179">
            <v>42.5</v>
          </cell>
        </row>
        <row r="180">
          <cell r="B180" t="str">
            <v>DD-J10-61052-220-Y</v>
          </cell>
          <cell r="C180" t="str">
            <v>钣铆</v>
          </cell>
          <cell r="D180">
            <v>26</v>
          </cell>
          <cell r="E180">
            <v>65</v>
          </cell>
        </row>
        <row r="181">
          <cell r="B181" t="str">
            <v>DD-J10-61052-250-Z</v>
          </cell>
          <cell r="C181" t="str">
            <v>钣铆</v>
          </cell>
          <cell r="D181">
            <v>8</v>
          </cell>
          <cell r="E181">
            <v>21</v>
          </cell>
        </row>
        <row r="182">
          <cell r="B182" t="str">
            <v>DD-J10-61052-270-Y</v>
          </cell>
          <cell r="C182" t="str">
            <v>钣铆</v>
          </cell>
          <cell r="D182">
            <v>3</v>
          </cell>
          <cell r="E182">
            <v>31.5</v>
          </cell>
        </row>
        <row r="183">
          <cell r="B183" t="str">
            <v>DD-J10-61052-270-Z</v>
          </cell>
          <cell r="C183" t="str">
            <v>钣铆</v>
          </cell>
          <cell r="D183">
            <v>16</v>
          </cell>
          <cell r="E183">
            <v>48</v>
          </cell>
        </row>
        <row r="184">
          <cell r="B184" t="str">
            <v>DD-J10-61052-320/1</v>
          </cell>
          <cell r="C184" t="str">
            <v>钣铆</v>
          </cell>
          <cell r="D184">
            <v>6</v>
          </cell>
          <cell r="E184">
            <v>21</v>
          </cell>
        </row>
        <row r="185">
          <cell r="B185" t="str">
            <v>DD-J10-61052-320/2</v>
          </cell>
          <cell r="C185" t="str">
            <v>钣铆</v>
          </cell>
          <cell r="D185">
            <v>5</v>
          </cell>
          <cell r="E185">
            <v>20</v>
          </cell>
        </row>
        <row r="186">
          <cell r="B186" t="str">
            <v>DD-J10-61052-330-Y</v>
          </cell>
          <cell r="C186" t="str">
            <v>钣铆</v>
          </cell>
          <cell r="D186">
            <v>7</v>
          </cell>
          <cell r="E186">
            <v>24.5</v>
          </cell>
        </row>
        <row r="187">
          <cell r="B187" t="str">
            <v>DD-J10-61052-340-Y</v>
          </cell>
          <cell r="C187" t="str">
            <v>钣铆</v>
          </cell>
          <cell r="D187">
            <v>3</v>
          </cell>
          <cell r="E187">
            <v>22.5</v>
          </cell>
        </row>
        <row r="188">
          <cell r="B188" t="str">
            <v>DD-J10-61052-340-Z</v>
          </cell>
          <cell r="C188" t="str">
            <v>钣铆</v>
          </cell>
          <cell r="D188">
            <v>20</v>
          </cell>
          <cell r="E188">
            <v>72</v>
          </cell>
        </row>
        <row r="189">
          <cell r="B189" t="str">
            <v>DD-J10-61052-430-Y</v>
          </cell>
          <cell r="C189" t="str">
            <v>钣铆</v>
          </cell>
          <cell r="D189">
            <v>6</v>
          </cell>
          <cell r="E189">
            <v>18</v>
          </cell>
        </row>
        <row r="190">
          <cell r="B190" t="str">
            <v>DD-J10-61052-430-Z</v>
          </cell>
          <cell r="C190" t="str">
            <v>钣铆</v>
          </cell>
          <cell r="D190">
            <v>8</v>
          </cell>
          <cell r="E190">
            <v>16</v>
          </cell>
        </row>
        <row r="191">
          <cell r="B191" t="str">
            <v>DD-J10-61052-440-Y</v>
          </cell>
          <cell r="C191" t="str">
            <v>钣铆</v>
          </cell>
          <cell r="D191">
            <v>1</v>
          </cell>
          <cell r="E191">
            <v>2</v>
          </cell>
        </row>
        <row r="192">
          <cell r="B192" t="str">
            <v>DD-J10-61052-440-Z</v>
          </cell>
          <cell r="C192" t="str">
            <v>钣铆</v>
          </cell>
          <cell r="D192">
            <v>8</v>
          </cell>
          <cell r="E192">
            <v>16.8</v>
          </cell>
        </row>
        <row r="193">
          <cell r="B193" t="str">
            <v>DD-J10-61052-470-Y</v>
          </cell>
          <cell r="C193" t="str">
            <v>钣铆</v>
          </cell>
          <cell r="D193">
            <v>8</v>
          </cell>
          <cell r="E193">
            <v>48</v>
          </cell>
        </row>
        <row r="194">
          <cell r="B194" t="str">
            <v>DD-J10-61052-470-Z</v>
          </cell>
          <cell r="C194" t="str">
            <v>钣铆</v>
          </cell>
          <cell r="D194">
            <v>8</v>
          </cell>
          <cell r="E194">
            <v>40</v>
          </cell>
        </row>
        <row r="195">
          <cell r="B195" t="str">
            <v>DD-J10-61052-90-Y</v>
          </cell>
          <cell r="C195" t="str">
            <v>钣铆</v>
          </cell>
          <cell r="D195">
            <v>20</v>
          </cell>
          <cell r="E195">
            <v>40</v>
          </cell>
        </row>
        <row r="196">
          <cell r="B196" t="str">
            <v>DD-J10-61052-90-Z</v>
          </cell>
          <cell r="C196" t="str">
            <v>钣铆</v>
          </cell>
          <cell r="D196">
            <v>10</v>
          </cell>
          <cell r="E196">
            <v>30</v>
          </cell>
        </row>
        <row r="197">
          <cell r="B197" t="str">
            <v>DD-J10-61101-120</v>
          </cell>
          <cell r="C197" t="str">
            <v>钣铆</v>
          </cell>
          <cell r="D197">
            <v>4</v>
          </cell>
          <cell r="E197">
            <v>16</v>
          </cell>
        </row>
        <row r="198">
          <cell r="B198" t="str">
            <v>DD-J10-61101-140</v>
          </cell>
          <cell r="C198" t="str">
            <v>钣铆</v>
          </cell>
          <cell r="D198">
            <v>28</v>
          </cell>
          <cell r="E198">
            <v>98</v>
          </cell>
        </row>
        <row r="199">
          <cell r="B199" t="str">
            <v>DD-J10-61101-170/2</v>
          </cell>
          <cell r="C199" t="str">
            <v>钣铆</v>
          </cell>
          <cell r="D199">
            <v>9</v>
          </cell>
          <cell r="E199">
            <v>27</v>
          </cell>
        </row>
        <row r="200">
          <cell r="B200" t="str">
            <v>DD-J10-61101-330</v>
          </cell>
          <cell r="C200" t="str">
            <v>钣铆</v>
          </cell>
          <cell r="D200">
            <v>10</v>
          </cell>
          <cell r="E200">
            <v>25</v>
          </cell>
        </row>
        <row r="201">
          <cell r="B201" t="str">
            <v>DD-J10-61101-40</v>
          </cell>
          <cell r="C201" t="str">
            <v>钣铆</v>
          </cell>
          <cell r="D201">
            <v>8</v>
          </cell>
          <cell r="E201">
            <v>32</v>
          </cell>
        </row>
        <row r="202">
          <cell r="B202" t="str">
            <v>DD-J10-61201-1120/1</v>
          </cell>
          <cell r="C202" t="str">
            <v>钣铆</v>
          </cell>
          <cell r="D202">
            <v>8</v>
          </cell>
          <cell r="E202">
            <v>24</v>
          </cell>
        </row>
        <row r="203">
          <cell r="B203" t="str">
            <v>DD-J10-61201-1120/2</v>
          </cell>
          <cell r="C203" t="str">
            <v>钣铆</v>
          </cell>
          <cell r="D203">
            <v>6</v>
          </cell>
          <cell r="E203">
            <v>15</v>
          </cell>
        </row>
        <row r="204">
          <cell r="B204" t="str">
            <v>DD-J10-63001-630H</v>
          </cell>
          <cell r="C204" t="str">
            <v>钣铆</v>
          </cell>
          <cell r="D204">
            <v>8</v>
          </cell>
          <cell r="E204">
            <v>48</v>
          </cell>
        </row>
        <row r="205">
          <cell r="B205" t="str">
            <v>DD-J10-78352-80-Z</v>
          </cell>
          <cell r="C205" t="str">
            <v>钣铆</v>
          </cell>
          <cell r="D205">
            <v>8</v>
          </cell>
          <cell r="E205">
            <v>24</v>
          </cell>
        </row>
        <row r="206">
          <cell r="B206" t="str">
            <v>DD-J10-78352-90-Y</v>
          </cell>
          <cell r="C206" t="str">
            <v>钣铆</v>
          </cell>
          <cell r="D206">
            <v>8</v>
          </cell>
          <cell r="E206">
            <v>24</v>
          </cell>
        </row>
        <row r="207">
          <cell r="B207" t="str">
            <v>DD-J10-94011-240</v>
          </cell>
          <cell r="C207" t="str">
            <v>钣铆</v>
          </cell>
          <cell r="D207">
            <v>5</v>
          </cell>
          <cell r="E207">
            <v>10</v>
          </cell>
        </row>
        <row r="208">
          <cell r="B208" t="str">
            <v>DD-J10B-21102-280-Y</v>
          </cell>
          <cell r="C208" t="str">
            <v>钣铆</v>
          </cell>
          <cell r="D208">
            <v>3</v>
          </cell>
          <cell r="E208">
            <v>18</v>
          </cell>
        </row>
        <row r="209">
          <cell r="B209" t="str">
            <v>DD-J10B-21102-290-Y</v>
          </cell>
          <cell r="C209" t="str">
            <v>钣铆</v>
          </cell>
          <cell r="D209">
            <v>12</v>
          </cell>
          <cell r="E209">
            <v>30</v>
          </cell>
        </row>
        <row r="210">
          <cell r="B210" t="str">
            <v>DD-J10B-61001-3810</v>
          </cell>
          <cell r="C210" t="str">
            <v>钣铆</v>
          </cell>
          <cell r="D210">
            <v>20</v>
          </cell>
          <cell r="E210">
            <v>40</v>
          </cell>
        </row>
        <row r="211">
          <cell r="B211" t="str">
            <v>DD-J10B-61001-3850/1</v>
          </cell>
          <cell r="C211" t="str">
            <v>钣铆</v>
          </cell>
          <cell r="D211">
            <v>11</v>
          </cell>
          <cell r="E211">
            <v>68</v>
          </cell>
        </row>
        <row r="212">
          <cell r="B212" t="str">
            <v>DD-J10B-61011-110G2</v>
          </cell>
          <cell r="C212" t="str">
            <v>钣铆</v>
          </cell>
          <cell r="D212">
            <v>6</v>
          </cell>
          <cell r="E212">
            <v>18</v>
          </cell>
        </row>
        <row r="213">
          <cell r="B213" t="str">
            <v>DD-J10B-61021-160-1H</v>
          </cell>
          <cell r="C213" t="str">
            <v>钣铆</v>
          </cell>
          <cell r="D213">
            <v>8</v>
          </cell>
          <cell r="E213">
            <v>32</v>
          </cell>
        </row>
        <row r="214">
          <cell r="B214" t="str">
            <v>DD-J10B-61031-30</v>
          </cell>
          <cell r="C214" t="str">
            <v>钣铆</v>
          </cell>
          <cell r="D214">
            <v>3</v>
          </cell>
          <cell r="E214">
            <v>72</v>
          </cell>
        </row>
        <row r="215">
          <cell r="B215" t="str">
            <v>DD-J10B-61052-460-Y</v>
          </cell>
          <cell r="C215" t="str">
            <v>钣铆</v>
          </cell>
          <cell r="D215">
            <v>2</v>
          </cell>
          <cell r="E215">
            <v>18</v>
          </cell>
        </row>
        <row r="216">
          <cell r="B216" t="str">
            <v>DD-J10B-61052-460-Z</v>
          </cell>
          <cell r="C216" t="str">
            <v>钣铆</v>
          </cell>
          <cell r="D216">
            <v>8</v>
          </cell>
          <cell r="E216">
            <v>28</v>
          </cell>
        </row>
        <row r="217">
          <cell r="B217" t="str">
            <v>DD-J10B-61201-2070</v>
          </cell>
          <cell r="C217" t="str">
            <v>钣铆</v>
          </cell>
          <cell r="D217">
            <v>5</v>
          </cell>
          <cell r="E217">
            <v>80</v>
          </cell>
        </row>
        <row r="218">
          <cell r="B218" t="str">
            <v>DD-J10B-63001-510H</v>
          </cell>
          <cell r="C218" t="str">
            <v>钣铆</v>
          </cell>
          <cell r="D218">
            <v>9</v>
          </cell>
          <cell r="E218">
            <v>54</v>
          </cell>
        </row>
        <row r="219">
          <cell r="B219" t="str">
            <v>DD-J10B-63001-610H</v>
          </cell>
          <cell r="C219" t="str">
            <v>钣铆</v>
          </cell>
          <cell r="D219">
            <v>15</v>
          </cell>
          <cell r="E219">
            <v>60</v>
          </cell>
        </row>
        <row r="220">
          <cell r="B220" t="str">
            <v>DD-J10B-94011-1110G2H</v>
          </cell>
          <cell r="C220" t="str">
            <v>钣铆</v>
          </cell>
          <cell r="D220">
            <v>12</v>
          </cell>
          <cell r="E220">
            <v>60</v>
          </cell>
        </row>
        <row r="221">
          <cell r="B221" t="str">
            <v>DD-J10B-94011-1290G2H</v>
          </cell>
          <cell r="C221" t="str">
            <v>钣铆</v>
          </cell>
          <cell r="D221">
            <v>13</v>
          </cell>
          <cell r="E221">
            <v>32.5</v>
          </cell>
        </row>
        <row r="222">
          <cell r="B222" t="str">
            <v>DD-J10B-94011-3110</v>
          </cell>
          <cell r="C222" t="str">
            <v>钣铆</v>
          </cell>
          <cell r="D222">
            <v>4</v>
          </cell>
          <cell r="E222">
            <v>12</v>
          </cell>
        </row>
        <row r="223">
          <cell r="B223" t="str">
            <v>DD-J10B-94021-1090H</v>
          </cell>
          <cell r="C223" t="str">
            <v>钣铆</v>
          </cell>
          <cell r="D223">
            <v>6</v>
          </cell>
          <cell r="E223">
            <v>30</v>
          </cell>
        </row>
        <row r="224">
          <cell r="B224" t="str">
            <v>DD-J10B-94021-110</v>
          </cell>
          <cell r="C224" t="str">
            <v>钣铆</v>
          </cell>
          <cell r="D224">
            <v>8</v>
          </cell>
          <cell r="E224">
            <v>180</v>
          </cell>
        </row>
        <row r="225">
          <cell r="B225" t="str">
            <v>DD-J10B-94021-1110H</v>
          </cell>
          <cell r="C225" t="str">
            <v>钣铆</v>
          </cell>
          <cell r="D225">
            <v>4</v>
          </cell>
          <cell r="E225">
            <v>60</v>
          </cell>
        </row>
        <row r="226">
          <cell r="B226" t="str">
            <v>DD-J10B-94031-2110</v>
          </cell>
          <cell r="C226" t="str">
            <v>钣铆</v>
          </cell>
          <cell r="D226">
            <v>13</v>
          </cell>
          <cell r="E226">
            <v>52</v>
          </cell>
        </row>
        <row r="227">
          <cell r="B227" t="str">
            <v>DD-J10B-94061-1050H</v>
          </cell>
          <cell r="C227" t="str">
            <v>钣铆</v>
          </cell>
          <cell r="D227">
            <v>10</v>
          </cell>
          <cell r="E227">
            <v>30</v>
          </cell>
        </row>
        <row r="228">
          <cell r="B228" t="str">
            <v>DD-J10B-94061-1070H</v>
          </cell>
          <cell r="C228" t="str">
            <v>钣铆</v>
          </cell>
          <cell r="D228">
            <v>11</v>
          </cell>
          <cell r="E228">
            <v>121</v>
          </cell>
        </row>
        <row r="229">
          <cell r="B229" t="str">
            <v>DD-J10B-94061-2010H</v>
          </cell>
          <cell r="C229" t="str">
            <v>钣铆</v>
          </cell>
          <cell r="D229">
            <v>11</v>
          </cell>
          <cell r="E229">
            <v>110</v>
          </cell>
        </row>
        <row r="230">
          <cell r="B230" t="str">
            <v>DD-J10B-94061-350</v>
          </cell>
          <cell r="C230" t="str">
            <v>钣铆</v>
          </cell>
          <cell r="D230">
            <v>3</v>
          </cell>
          <cell r="E230">
            <v>108</v>
          </cell>
        </row>
        <row r="231">
          <cell r="B231" t="str">
            <v>DD-J10B-94076-1050H</v>
          </cell>
          <cell r="C231" t="str">
            <v>钣铆</v>
          </cell>
          <cell r="D231">
            <v>8</v>
          </cell>
          <cell r="E231">
            <v>40</v>
          </cell>
        </row>
        <row r="232">
          <cell r="B232" t="str">
            <v>DD-J10B-94076-1060H</v>
          </cell>
          <cell r="C232" t="str">
            <v>钣铆</v>
          </cell>
          <cell r="D232">
            <v>12</v>
          </cell>
          <cell r="E232">
            <v>60</v>
          </cell>
        </row>
        <row r="233">
          <cell r="B233" t="str">
            <v>DD-J10B-94076-1090H</v>
          </cell>
          <cell r="C233" t="str">
            <v>钣铆</v>
          </cell>
          <cell r="D233">
            <v>18</v>
          </cell>
          <cell r="E233">
            <v>114</v>
          </cell>
        </row>
        <row r="234">
          <cell r="B234" t="str">
            <v>DD-J10B-94076-1140H</v>
          </cell>
          <cell r="C234" t="str">
            <v>钣铆</v>
          </cell>
          <cell r="D234">
            <v>4</v>
          </cell>
          <cell r="E234">
            <v>48</v>
          </cell>
        </row>
        <row r="235">
          <cell r="B235" t="str">
            <v>DD-J10B-94076-1220</v>
          </cell>
          <cell r="C235" t="str">
            <v>钣铆</v>
          </cell>
          <cell r="D235">
            <v>2</v>
          </cell>
          <cell r="E235">
            <v>48</v>
          </cell>
        </row>
        <row r="236">
          <cell r="B236" t="str">
            <v>DD-J10B-94076-1230</v>
          </cell>
          <cell r="C236" t="str">
            <v>钣铆</v>
          </cell>
          <cell r="D236">
            <v>6</v>
          </cell>
          <cell r="E236">
            <v>42</v>
          </cell>
        </row>
        <row r="237">
          <cell r="B237" t="str">
            <v>DD-J10S-61001-3890</v>
          </cell>
          <cell r="C237" t="str">
            <v>钣铆</v>
          </cell>
          <cell r="D237">
            <v>7</v>
          </cell>
          <cell r="E237">
            <v>35</v>
          </cell>
        </row>
        <row r="238">
          <cell r="B238" t="str">
            <v>DD-J10S-61011-1010</v>
          </cell>
          <cell r="C238" t="str">
            <v>钣铆</v>
          </cell>
          <cell r="D238">
            <v>8</v>
          </cell>
          <cell r="E238">
            <v>42</v>
          </cell>
        </row>
        <row r="239">
          <cell r="B239" t="str">
            <v>DD-J10S-61011-60</v>
          </cell>
          <cell r="C239" t="str">
            <v>钣铆</v>
          </cell>
          <cell r="D239">
            <v>8</v>
          </cell>
          <cell r="E239">
            <v>20</v>
          </cell>
        </row>
        <row r="240">
          <cell r="B240" t="str">
            <v>DD-J10S-61011-700</v>
          </cell>
          <cell r="C240" t="str">
            <v>钣铆</v>
          </cell>
          <cell r="D240">
            <v>7</v>
          </cell>
          <cell r="E240">
            <v>22.400000000000002</v>
          </cell>
        </row>
        <row r="241">
          <cell r="B241" t="str">
            <v>DD-J10S-61031-190</v>
          </cell>
          <cell r="C241" t="str">
            <v>钣铆</v>
          </cell>
          <cell r="D241">
            <v>6</v>
          </cell>
          <cell r="E241">
            <v>60</v>
          </cell>
        </row>
        <row r="242">
          <cell r="B242" t="str">
            <v>DD-J10S-94011-540-1H</v>
          </cell>
          <cell r="C242" t="str">
            <v>钣铆</v>
          </cell>
          <cell r="D242">
            <v>8</v>
          </cell>
          <cell r="E242">
            <v>28</v>
          </cell>
        </row>
        <row r="243">
          <cell r="B243" t="str">
            <v>DD-J10S-94011-620-1H</v>
          </cell>
          <cell r="C243" t="str">
            <v>钣铆</v>
          </cell>
          <cell r="D243">
            <v>8</v>
          </cell>
          <cell r="E243">
            <v>32</v>
          </cell>
        </row>
        <row r="244">
          <cell r="B244" t="str">
            <v>DD-J10S-94011-630-1H</v>
          </cell>
          <cell r="C244" t="str">
            <v>钣铆</v>
          </cell>
          <cell r="D244">
            <v>8</v>
          </cell>
          <cell r="E244">
            <v>24</v>
          </cell>
        </row>
        <row r="245">
          <cell r="B245" t="str">
            <v>DD-J10S-94011-770</v>
          </cell>
          <cell r="C245" t="str">
            <v>钣铆</v>
          </cell>
          <cell r="D245">
            <v>8</v>
          </cell>
          <cell r="E245">
            <v>24</v>
          </cell>
        </row>
        <row r="246">
          <cell r="B246" t="str">
            <v>DD-J10S-94011-920</v>
          </cell>
          <cell r="C246" t="str">
            <v>钣铆</v>
          </cell>
          <cell r="D246">
            <v>8</v>
          </cell>
          <cell r="E246">
            <v>16</v>
          </cell>
        </row>
        <row r="247">
          <cell r="B247" t="str">
            <v>DD-J10S-94021-1220-1H</v>
          </cell>
          <cell r="C247" t="str">
            <v>钣铆</v>
          </cell>
          <cell r="D247">
            <v>8</v>
          </cell>
          <cell r="E247">
            <v>32</v>
          </cell>
        </row>
        <row r="248">
          <cell r="B248" t="str">
            <v>DD-J10S-94051-1110</v>
          </cell>
          <cell r="C248" t="str">
            <v>钣铆</v>
          </cell>
          <cell r="D248">
            <v>8</v>
          </cell>
          <cell r="E248">
            <v>16</v>
          </cell>
        </row>
        <row r="249">
          <cell r="B249" t="str">
            <v>DD-J10S-94051-4200-1H</v>
          </cell>
          <cell r="C249" t="str">
            <v>钣铆</v>
          </cell>
          <cell r="D249">
            <v>8</v>
          </cell>
          <cell r="E249">
            <v>24</v>
          </cell>
        </row>
        <row r="250">
          <cell r="B250" t="str">
            <v>DD-J10S-94051-4400-1H</v>
          </cell>
          <cell r="C250" t="str">
            <v>钣铆</v>
          </cell>
          <cell r="D250">
            <v>8</v>
          </cell>
          <cell r="E250">
            <v>24</v>
          </cell>
        </row>
        <row r="251">
          <cell r="B251" t="str">
            <v>DD-J10S-94061-120</v>
          </cell>
          <cell r="C251" t="str">
            <v>钣铆</v>
          </cell>
          <cell r="D251">
            <v>4</v>
          </cell>
          <cell r="E251">
            <v>12</v>
          </cell>
        </row>
        <row r="252">
          <cell r="B252" t="str">
            <v>DD-J10S-94061-2080</v>
          </cell>
          <cell r="C252" t="str">
            <v>钣铆</v>
          </cell>
          <cell r="D252">
            <v>8</v>
          </cell>
          <cell r="E252">
            <v>80</v>
          </cell>
        </row>
        <row r="253">
          <cell r="B253" t="str">
            <v>DD-J10S-94076-6040-1H</v>
          </cell>
          <cell r="C253" t="str">
            <v>钣铆</v>
          </cell>
          <cell r="D253">
            <v>8</v>
          </cell>
          <cell r="E253">
            <v>96</v>
          </cell>
        </row>
        <row r="254">
          <cell r="B254" t="str">
            <v>DD-J10S-94076-6120</v>
          </cell>
          <cell r="C254" t="str">
            <v>钣铆</v>
          </cell>
          <cell r="D254">
            <v>4</v>
          </cell>
          <cell r="E254">
            <v>24</v>
          </cell>
        </row>
        <row r="255">
          <cell r="B255" t="str">
            <v>DD-J10S-94076-6140</v>
          </cell>
          <cell r="C255" t="str">
            <v>钣铆</v>
          </cell>
          <cell r="D255">
            <v>1</v>
          </cell>
          <cell r="E255">
            <v>12</v>
          </cell>
        </row>
        <row r="256">
          <cell r="B256" t="str">
            <v>DD-J10S-94076-6170H</v>
          </cell>
          <cell r="C256" t="str">
            <v>钣铆</v>
          </cell>
          <cell r="D256">
            <v>8</v>
          </cell>
          <cell r="E256">
            <v>24</v>
          </cell>
        </row>
        <row r="257">
          <cell r="B257" t="str">
            <v>GU2285554-000-001</v>
          </cell>
          <cell r="C257" t="str">
            <v>钣铆</v>
          </cell>
          <cell r="D257">
            <v>1</v>
          </cell>
          <cell r="E257">
            <v>30</v>
          </cell>
        </row>
        <row r="258">
          <cell r="B258" t="str">
            <v>GU2285558-000-001</v>
          </cell>
          <cell r="C258" t="str">
            <v>钣铆</v>
          </cell>
          <cell r="D258">
            <v>4</v>
          </cell>
          <cell r="E258">
            <v>20</v>
          </cell>
        </row>
        <row r="259">
          <cell r="B259" t="str">
            <v>总计</v>
          </cell>
          <cell r="D259">
            <v>2566</v>
          </cell>
          <cell r="E259">
            <v>12451.8</v>
          </cell>
        </row>
        <row r="260">
          <cell r="D260">
            <v>0</v>
          </cell>
          <cell r="E260">
            <v>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微软用户" refreshedDate="44235.491044212962" createdVersion="6" refreshedVersion="6" minRefreshableVersion="3" recordCount="394">
  <cacheSource type="worksheet">
    <worksheetSource ref="A1:M395" sheet="源表"/>
  </cacheSource>
  <cacheFields count="13">
    <cacheField name="类别" numFmtId="0">
      <sharedItems/>
    </cacheField>
    <cacheField name="机型" numFmtId="0">
      <sharedItems/>
    </cacheField>
    <cacheField name="图号" numFmtId="0">
      <sharedItems count="255">
        <s v="CB228545C-000-001"/>
        <s v="DD-J10-61052-270-Y"/>
        <s v="BC22822A1-000-001"/>
        <s v="DD-J10-61031-50"/>
        <s v="BC22822F2-000-001"/>
        <s v="BC22822F1-000-001"/>
        <s v="BC22822B5-000-001"/>
        <s v="DD-J10-61031-60"/>
        <s v="DD-J10-61041-280"/>
        <s v="DD-J10-61031-120"/>
        <s v="DD-J10S-94021-1220-1H"/>
        <s v="BC22822F3-000-001"/>
        <s v="CB2285477-000-001"/>
        <s v="CB2283465-000-001"/>
        <s v="CB2283456-000-001"/>
        <s v="CB2285663-000L002"/>
        <s v="CB22853H3-000-001"/>
        <s v="CB228547B-000-001"/>
        <s v="CB2285472-000-002"/>
        <s v="CB2285476-000-001"/>
        <s v="CB2282752-000-003"/>
        <s v="DD-J10-61021-150"/>
        <s v="CB22853H4-000-001"/>
        <s v="DD-J10B-94076-1230"/>
        <s v="DD-J10B-94076-1220"/>
        <s v="DD-J10-61031-150"/>
        <s v="DD-J10-61052-340-Z"/>
        <s v="CB2285663-000R002"/>
        <s v="DD-J10-61052-190-Z"/>
        <s v="CB2285652-000R002"/>
        <s v="CB2285652-000L002"/>
        <s v="CB22832G7-000-001"/>
        <s v="DD-J10-61021-120"/>
        <s v="CB2282661-000R004"/>
        <s v="CB221T2LL-000-002H"/>
        <s v="CB221T2MB-000-002H"/>
        <s v="CB221T2LU-000-002H"/>
        <s v="CB22853H2-000-001"/>
        <s v="CB2283455-000-001"/>
        <s v="CB22852G5-000-001"/>
        <s v="CB22832G1-000-001"/>
        <s v="DD-J10-61001-1860/1"/>
        <s v="DD-J10-61052-210-Z"/>
        <s v="DD-J10-61052-190-Y"/>
        <s v="DD-J10B-61001-3810"/>
        <s v="DD-J10-61052-220-Y"/>
        <s v="DD-J10S-61011-1010"/>
        <s v="DD-J10-61052-340-Y"/>
        <s v="DD-J10-61031-930"/>
        <s v="DD-J10-61101-170/2"/>
        <s v="GU2285558-000-001"/>
        <s v="GU2285554-000-001"/>
        <s v="DD-J10S-94051-4200-1H"/>
        <s v="DD-J10B-21102-290-Y"/>
        <s v="DD-J10S-94051-4400-1H"/>
        <s v="DD-J10-61001-1830/1"/>
        <s v="DD-J10-61001-1840/2"/>
        <s v="DD-J10-61052-470-Z"/>
        <s v="DD-J10-61052-470-Y"/>
        <s v="CB2283664-000L002"/>
        <s v="CB228547C-000-001"/>
        <s v="CB2283462-000-001"/>
        <s v="CB2283666-000L003"/>
        <s v="DD-J10-61052-250-Z"/>
        <s v="CB2283154-000-001"/>
        <s v="CB2285479-000-001"/>
        <s v="DD-J10-61041-320"/>
        <s v="DD-J10-61052-130-Y"/>
        <s v="DD-J10-61001-1870/1"/>
        <s v="DD-J10-61041-130"/>
        <s v="BC2281633-000-001"/>
        <s v="DD-J10-61041-330"/>
        <s v="CB22857H8-000-005"/>
        <s v="CB221T5LB-000-002H"/>
        <s v="CB228545B-000-001"/>
        <s v="CB228545F-000-001"/>
        <s v="CB22857F5-000-003"/>
        <s v="CB2282162-000-001"/>
        <s v="CB2747B10-001-002H"/>
        <s v="DD-J10-78352-80-Z"/>
        <s v="DD-J10-61052-330-Y"/>
        <s v="DD-J10-61101-330"/>
        <s v="DD-J10-78352-90-Y"/>
        <s v="CB22857B1-000-003"/>
        <s v="CB22857H1-000-002"/>
        <s v="CB2283661-000L001"/>
        <s v="CB2282663-000L002"/>
        <s v="CB22832G6-000-001"/>
        <s v="CB221T5LJ-000-002H"/>
        <s v="DD-J10-05076-90-Z"/>
        <s v="DD-J10-61021-60"/>
        <s v="DD-J10S-94011-620-1H"/>
        <s v="DD-J10B-61001-3850/1"/>
        <s v="CB221T4TA-000-001"/>
        <s v="DD-J10-61101-40"/>
        <s v="DD-J10-61031-920"/>
        <s v="DD-J10-61001-1880/1"/>
        <s v="DD-J10-61041-150"/>
        <s v="CB22827B8-000-007"/>
        <s v="DD-J10B-94076-1050H"/>
        <s v="DD-J10B-94011-1290G2H"/>
        <s v="DD-J10B-94061-1050H"/>
        <s v="CB2285464-000-002"/>
        <s v="CB2283661-000R001"/>
        <s v="CB22837C3-000-001"/>
        <s v="CB22827C3-000-009"/>
        <s v="CB2285465-000-002"/>
        <s v="CB2285461-000-002"/>
        <s v="DD-J10B-94061-350"/>
        <s v="DD-J10B-61011-110G2"/>
        <s v="DD-J10B-94031-2110"/>
        <s v="DD-J10B-94061-1070H"/>
        <s v="CB2285462-000-002"/>
        <s v="CB2283454-000-002"/>
        <s v="BC221T1BB-000-001H"/>
        <s v="DD-J10S-94061-2080"/>
        <s v="DD-J10B-94061-2010H"/>
        <s v="DD-J10S-94011-770"/>
        <s v="CB22837C1-000-001"/>
        <s v="CB2282571-000-002"/>
        <s v="CB22833G2-000-001"/>
        <s v="CB22832G2-000-001"/>
        <s v="CB2283452-000-001"/>
        <s v="CB2282661-000L004"/>
        <s v="CB2282292-000-001"/>
        <s v="CB22827B5-000-004"/>
        <s v="DD-J10B-61201-2070"/>
        <s v="DD-J10-61021-50"/>
        <s v="DD-J10B-94011-3110"/>
        <s v="DD-J10S-94061-120"/>
        <s v="BC22832E2-000-001"/>
        <s v="BC22843C7-000-001"/>
        <s v="BC22822B2-000-001"/>
        <s v="BC22821A3-000-001"/>
        <s v="CB221T2LP-000-002H"/>
        <s v="CB221T5LL-000-003H"/>
        <s v="CB22857G4-000-001"/>
        <s v="CB2282553-000-003"/>
        <s v="CB2282551-000-002"/>
        <s v="CB221T2LC-000-002H"/>
        <s v="CB221T5LD-000-002H"/>
        <s v="CB221T2LB-000-002H"/>
        <s v="CB221T3MB-000-002H"/>
        <s v="DD-J10B-94021-110"/>
        <s v="DD-J10S-94011-920"/>
        <s v="DD-J10B-61052-460-Y"/>
        <s v="DD-J10S-94076-6120"/>
        <s v="CB2285653-000L002"/>
        <s v="CB221T2LJ-000-002H"/>
        <s v="BC2281634-000-001"/>
        <s v="DD-J10B-61052-460-Z"/>
        <s v="DD-J10B-61021-160-1H"/>
        <s v="DD-J10B-63001-610H"/>
        <s v="DD-J10-61021-140"/>
        <s v="DD-J10-61011-2120"/>
        <s v="DD-J10-61052-320/2"/>
        <s v="DD-J10-61031-70"/>
        <s v="DD-J10-61031-130"/>
        <s v="DD-J10-61052-270-Z"/>
        <s v="DD-J10-61041-620"/>
        <s v="DD-J10-61041-630"/>
        <s v="DD-J10B-94076-1140H"/>
        <s v="DD-J10-61052-90-Y"/>
        <s v="DD-J10B-94076-1060H"/>
        <s v="DD-J10B-63001-510H"/>
        <s v="DD-J10B-61031-30"/>
        <s v="DD-J10S-94076-6140"/>
        <s v="BC2281658-000-005"/>
        <s v="BC2281632-000-001"/>
        <s v="BC22816Y2-000-002"/>
        <s v="BC22811A3-000-001"/>
        <s v="BC22833A6-000-001"/>
        <s v="DD-J10S-94076-6170H"/>
        <s v="DD-J10-63001-630H"/>
        <s v="CB2283791-000-002"/>
        <s v="CB2282556-000-003"/>
        <s v="BC228165C-000-003"/>
        <s v="CB221T5LA-000-002H"/>
        <s v="DD-J10-61021-130"/>
        <s v="CB2282761-000-001"/>
        <s v="DD-J10-61041-170"/>
        <s v="CB221T2LM-000-002H"/>
        <s v="CB22832G9-000-001"/>
        <s v="CB2282566-000-003"/>
        <s v="CB2282762-000-003"/>
        <s v="CB2282557-000-002"/>
        <s v="CB2282751-000-001"/>
        <s v="DD-J10B-94076-1090H"/>
        <s v="DD-J10S-94011-630-1H"/>
        <s v="BC228263H-000-001"/>
        <s v="CB2283792-000-002"/>
        <s v="DD-J10-61052-90-Z"/>
        <s v="DD-J10-61052-110-Z"/>
        <s v="DD-J10-61031-190"/>
        <s v="DD-J10-61031-940"/>
        <s v="DD-J10-61031-180"/>
        <s v="DD-J10-61041-610"/>
        <s v="DD-J10-61052-210-Y"/>
        <s v="DD-J10-61052-320/1"/>
        <s v="DD-J10-61052-430-Y"/>
        <s v="DD-J10-61052-430-Z"/>
        <s v="DD-J10B-94011-1110G2H"/>
        <s v="DD-J10-61052-440-Z"/>
        <s v="DD-J10-61201-1120/1"/>
        <s v="DD-J10-61201-1120/2"/>
        <s v="DD-J10B-21102-280-Y"/>
        <s v="DD-J10-61101-120"/>
        <s v="CB2282564-000-003"/>
        <s v="CB2282562-000-003"/>
        <s v="CB2282561-000-002"/>
        <s v="DD-J10-61011-2110"/>
        <s v="DD-J10-61101-140"/>
        <s v="DD-J10-94011-240"/>
        <s v="DD-J10-61021-180"/>
        <s v="CB2283152-000-002"/>
        <s v="CB22827C6-000-003"/>
        <s v="CB2283151-000-002"/>
        <s v="CB2285679-000L001"/>
        <s v="CB22852H3-000-001"/>
        <s v="CB22837C2-000-001"/>
        <s v="CB2282567-000-003"/>
        <s v="CB22823G2-000-001"/>
        <s v="CB22827B2-000-002"/>
        <s v="DD-J10B-94021-1110H"/>
        <s v="DD-J10S-61031-190"/>
        <s v="DD-J10S-94051-1110"/>
        <s v="BC2281652-000-007"/>
        <s v="DD-J10S-94011-540-1H"/>
        <s v="DD-J10S-61011-60"/>
        <s v="DD-J10-61031-90"/>
        <s v="DD-J10-61041-220"/>
        <s v="DD-J10S-61011-700"/>
        <s v="BC22833A2-000-001"/>
        <s v="CB221T3ML-000-002H"/>
        <s v="CB221T4LF-000-002H"/>
        <s v="CB221T4LY-000-002H"/>
        <s v="DD-J10S-61001-3890"/>
        <s v="DD-J10-61052-150-Z"/>
        <s v="CB2285664-000-002"/>
        <s v="CB228455A-000-004"/>
        <s v="DD-J10S-94076-6040-1H"/>
        <s v="BC221T4MG-000-001"/>
        <s v="BC22823B5-000-001"/>
        <s v="BC22833C6-000-001"/>
        <s v="DD-J10B-94021-1090H"/>
        <s v="CB228548B-000-001"/>
        <s v="BC22833A5-000-001"/>
        <s v="CB2285653-000R002"/>
        <s v="CB2283651-000L002"/>
        <s v="CB2285756-000-006"/>
        <s v="CB221T4MM-000-003H"/>
        <s v="BC22832E1-000-001"/>
        <s v="CB2285762-000-003H"/>
        <s v="CB221T4LM-000-002H"/>
        <s v="DD-J10-61052-440-Y"/>
      </sharedItems>
    </cacheField>
    <cacheField name="批次号" numFmtId="49">
      <sharedItems/>
    </cacheField>
    <cacheField name="质量编号" numFmtId="0">
      <sharedItems/>
    </cacheField>
    <cacheField name="领料日期" numFmtId="14">
      <sharedItems containsSemiMixedTypes="0" containsNonDate="0" containsDate="1" containsString="0" minDate="2020-03-26T00:00:00" maxDate="2021-01-21T00:00:00"/>
    </cacheField>
    <cacheField name="计划数量" numFmtId="0">
      <sharedItems containsSemiMixedTypes="0" containsString="0" containsNumber="1" containsInteger="1" minValue="1" maxValue="16"/>
    </cacheField>
    <cacheField name="任务编号" numFmtId="49">
      <sharedItems/>
    </cacheField>
    <cacheField name="交付日期" numFmtId="49">
      <sharedItems/>
    </cacheField>
    <cacheField name="合格数量" numFmtId="0">
      <sharedItems containsSemiMixedTypes="0" containsString="0" containsNumber="1" containsInteger="1" minValue="1" maxValue="16"/>
    </cacheField>
    <cacheField name="操作工" numFmtId="0">
      <sharedItems/>
    </cacheField>
    <cacheField name="单件工时" numFmtId="0">
      <sharedItems containsSemiMixedTypes="0" containsString="0" containsNumber="1" minValue="2" maxValue="20"/>
    </cacheField>
    <cacheField name="总工时" numFmtId="0">
      <sharedItems containsSemiMixedTypes="0" containsString="0" containsNumber="1" minValue="2" maxValue="1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94">
  <r>
    <s v="钣铆"/>
    <s v="CB"/>
    <x v="0"/>
    <s v="05-109-110"/>
    <s v="5P002"/>
    <d v="2021-01-20T00:00:00"/>
    <n v="2"/>
    <s v="110403000201"/>
    <s v="2021/1"/>
    <n v="2"/>
    <s v="刘德运"/>
    <n v="3"/>
    <n v="18"/>
  </r>
  <r>
    <s v="钣铆"/>
    <s v="J10C"/>
    <x v="1"/>
    <s v="07-12-14"/>
    <s v="C7P003"/>
    <d v="2021-01-18T00:00:00"/>
    <n v="3"/>
    <s v="110311000201"/>
    <s v="2021/1"/>
    <n v="3"/>
    <s v="周靓"/>
    <n v="3.5"/>
    <n v="31.5"/>
  </r>
  <r>
    <s v="钣铆"/>
    <s v="FC1"/>
    <x v="2"/>
    <s v="03-3021-3027"/>
    <s v="3P005"/>
    <d v="2021-01-15T00:00:00"/>
    <n v="7"/>
    <s v="110204000201"/>
    <s v="2021/1"/>
    <n v="7"/>
    <s v="李建宏"/>
    <n v="6"/>
    <n v="42"/>
  </r>
  <r>
    <s v="钣铆"/>
    <s v="J10C"/>
    <x v="3"/>
    <s v="07-1-20"/>
    <s v="C7P001"/>
    <d v="2021-01-18T00:00:00"/>
    <n v="10"/>
    <s v="110311000201"/>
    <s v="2021/1"/>
    <n v="10"/>
    <s v="梁文科"/>
    <n v="3"/>
    <n v="30"/>
  </r>
  <r>
    <s v="钣铆"/>
    <s v="FC1"/>
    <x v="4"/>
    <s v="03-3022-3024"/>
    <s v="3P004"/>
    <d v="2021-01-18T00:00:00"/>
    <n v="3"/>
    <s v="110204000201"/>
    <s v="2021/1"/>
    <n v="3"/>
    <s v="樊晓龙"/>
    <n v="3"/>
    <n v="27"/>
  </r>
  <r>
    <s v="钣铆"/>
    <s v="FC1"/>
    <x v="5"/>
    <s v="03-3023-3027"/>
    <s v="3P005"/>
    <d v="2021-01-15T00:00:00"/>
    <n v="5"/>
    <s v="110204000201"/>
    <s v="2021/1"/>
    <n v="5"/>
    <s v="梁文科"/>
    <n v="3"/>
    <n v="15"/>
  </r>
  <r>
    <s v="钣铆"/>
    <s v="FC1"/>
    <x v="6"/>
    <s v="03-3016-3027"/>
    <s v="3P002"/>
    <d v="2021-01-15T00:00:00"/>
    <n v="12"/>
    <s v="110204000201"/>
    <s v="2021/1"/>
    <n v="12"/>
    <s v="杨峰"/>
    <n v="3"/>
    <n v="36"/>
  </r>
  <r>
    <s v="钣铆"/>
    <s v="J10C"/>
    <x v="7"/>
    <s v="07-1-6"/>
    <s v="C7P001"/>
    <d v="2021-01-18T00:00:00"/>
    <n v="6"/>
    <s v="110311090201"/>
    <s v="2021/1"/>
    <n v="6"/>
    <s v="邓长春"/>
    <n v="4"/>
    <n v="24"/>
  </r>
  <r>
    <s v="钣铆"/>
    <s v="J10C"/>
    <x v="8"/>
    <s v="07-1-20"/>
    <s v="C7P001"/>
    <d v="2021-01-18T00:00:00"/>
    <n v="10"/>
    <s v="110311000201"/>
    <s v="2021/1"/>
    <n v="10"/>
    <s v="龙涛"/>
    <n v="2.5"/>
    <n v="25"/>
  </r>
  <r>
    <s v="钣铆"/>
    <s v="J10C"/>
    <x v="8"/>
    <s v="07-1-20"/>
    <s v="C7P001-1"/>
    <d v="2021-01-18T00:00:00"/>
    <n v="10"/>
    <s v="110311000201"/>
    <s v="2021/1"/>
    <n v="10"/>
    <s v="曾礼杰"/>
    <n v="2.5"/>
    <n v="25"/>
  </r>
  <r>
    <s v="钣铆"/>
    <s v="J10C"/>
    <x v="9"/>
    <s v="07-1-20"/>
    <s v="C7P001"/>
    <d v="2021-01-18T00:00:00"/>
    <n v="10"/>
    <s v="110311000201"/>
    <s v="2021/1"/>
    <n v="10"/>
    <s v="邓学永"/>
    <n v="2"/>
    <n v="20"/>
  </r>
  <r>
    <s v="钣铆"/>
    <s v="J10S"/>
    <x v="10"/>
    <s v="04-15-22"/>
    <s v="4P003"/>
    <d v="2021-01-15T00:00:00"/>
    <n v="8"/>
    <s v="110304000201"/>
    <s v="2021/1"/>
    <n v="8"/>
    <s v="刘强"/>
    <n v="4"/>
    <n v="32"/>
  </r>
  <r>
    <s v="钣铆"/>
    <s v="FC1"/>
    <x v="11"/>
    <s v="03-3016-3026"/>
    <s v="3P003"/>
    <d v="2021-01-15T00:00:00"/>
    <n v="6"/>
    <s v="110204000201"/>
    <s v="2021/1"/>
    <n v="6"/>
    <s v="张翔（小）"/>
    <n v="2"/>
    <n v="12"/>
  </r>
  <r>
    <s v="钣铆"/>
    <s v="CB"/>
    <x v="12"/>
    <s v="05-114-120"/>
    <s v="5P003"/>
    <d v="2021-01-15T00:00:00"/>
    <n v="7"/>
    <s v="110403000201"/>
    <s v="2021/1"/>
    <n v="7"/>
    <s v="樊晓龙"/>
    <n v="3"/>
    <n v="21"/>
  </r>
  <r>
    <s v="钣铆"/>
    <s v="CB"/>
    <x v="13"/>
    <s v="04-99-108"/>
    <s v="5P001"/>
    <d v="2021-01-15T00:00:00"/>
    <n v="2"/>
    <s v="110403000201"/>
    <s v="2021/1"/>
    <n v="2"/>
    <s v="周虎"/>
    <n v="3"/>
    <n v="18"/>
  </r>
  <r>
    <s v="钣铆"/>
    <s v="CB"/>
    <x v="14"/>
    <s v="04-99-108"/>
    <s v="5P001"/>
    <d v="2021-01-15T00:00:00"/>
    <n v="10"/>
    <s v="110403000201"/>
    <s v="2021/1"/>
    <n v="10"/>
    <s v="樊晓龙"/>
    <n v="5"/>
    <n v="50"/>
  </r>
  <r>
    <s v="钣铆"/>
    <s v="CB"/>
    <x v="15"/>
    <s v="05-101-110"/>
    <s v="5P002"/>
    <d v="2021-01-15T00:00:00"/>
    <n v="10"/>
    <s v="110403000201"/>
    <s v="2021/1"/>
    <n v="10"/>
    <s v="樊晓龙"/>
    <n v="3"/>
    <n v="30"/>
  </r>
  <r>
    <s v="钣铆"/>
    <s v="CB"/>
    <x v="16"/>
    <s v="04-99-108"/>
    <s v="5P001"/>
    <d v="2021-01-15T00:00:00"/>
    <n v="10"/>
    <s v="110403000201"/>
    <s v="2021/1"/>
    <n v="10"/>
    <s v="杨磊"/>
    <n v="6"/>
    <n v="60"/>
  </r>
  <r>
    <s v="钣铆"/>
    <s v="CB"/>
    <x v="17"/>
    <s v="04-99-108"/>
    <s v="5P001"/>
    <d v="2021-01-15T00:00:00"/>
    <n v="10"/>
    <s v="110403000201"/>
    <s v="2021/1"/>
    <n v="10"/>
    <s v="高龙"/>
    <n v="3"/>
    <n v="30"/>
  </r>
  <r>
    <s v="钣铆"/>
    <s v="CB"/>
    <x v="18"/>
    <s v="05-111-118"/>
    <s v="5P007"/>
    <d v="2021-01-15T00:00:00"/>
    <n v="8"/>
    <s v="110403000201"/>
    <s v="2021/1"/>
    <n v="8"/>
    <s v="杨峰"/>
    <n v="4"/>
    <n v="32"/>
  </r>
  <r>
    <s v="钣铆"/>
    <s v="CB"/>
    <x v="12"/>
    <s v="04-99-106"/>
    <s v="5P001"/>
    <d v="2021-01-15T00:00:00"/>
    <n v="8"/>
    <s v="110403000201"/>
    <s v="2021/1"/>
    <n v="8"/>
    <s v="杨峰"/>
    <n v="3"/>
    <n v="24"/>
  </r>
  <r>
    <s v="钣铆"/>
    <s v="CB"/>
    <x v="19"/>
    <s v="05-114-120"/>
    <s v="5P003"/>
    <d v="2021-01-15T00:00:00"/>
    <n v="7"/>
    <s v="110403000201"/>
    <s v="2021/1"/>
    <n v="7"/>
    <s v="周靓"/>
    <n v="3"/>
    <n v="21"/>
  </r>
  <r>
    <s v="钣铆"/>
    <s v="CB"/>
    <x v="20"/>
    <s v="06-121-125"/>
    <s v="6P001"/>
    <d v="2021-01-13T00:00:00"/>
    <n v="5"/>
    <s v="110403000201"/>
    <s v="2021/1"/>
    <n v="5"/>
    <s v="樊晓龙"/>
    <n v="3"/>
    <n v="15"/>
  </r>
  <r>
    <s v="钣铆"/>
    <s v="J10C"/>
    <x v="21"/>
    <s v="05-1-40"/>
    <s v="C5P014"/>
    <d v="2021-01-13T00:00:00"/>
    <n v="8"/>
    <s v="110311000202"/>
    <s v="2021/1"/>
    <n v="8"/>
    <s v="张华"/>
    <n v="4"/>
    <n v="32"/>
  </r>
  <r>
    <s v="钣铆"/>
    <s v="J10C"/>
    <x v="21"/>
    <s v="07-1-8"/>
    <s v="C7P001"/>
    <d v="2021-01-13T00:00:00"/>
    <n v="16"/>
    <s v="110311090201"/>
    <s v="2021/1"/>
    <n v="16"/>
    <s v="张华"/>
    <n v="4"/>
    <n v="64"/>
  </r>
  <r>
    <s v="钣铆"/>
    <s v="CB"/>
    <x v="22"/>
    <s v="04-97-106"/>
    <s v="5P001"/>
    <d v="2021-01-13T00:00:00"/>
    <n v="10"/>
    <s v="110403000201"/>
    <s v="2021/1"/>
    <n v="10"/>
    <s v="冯斌"/>
    <n v="4"/>
    <n v="40"/>
  </r>
  <r>
    <s v="钣铆"/>
    <s v="J10C"/>
    <x v="23"/>
    <s v="07-1-6"/>
    <s v="7P001"/>
    <d v="2021-01-14T00:00:00"/>
    <n v="6"/>
    <s v="110311090201"/>
    <s v="2021/1"/>
    <n v="6"/>
    <s v="李红兵"/>
    <n v="7"/>
    <n v="42"/>
  </r>
  <r>
    <s v="钣铆"/>
    <s v="J10C"/>
    <x v="24"/>
    <s v="07-1-2"/>
    <s v="7P001"/>
    <d v="2021-01-14T00:00:00"/>
    <n v="2"/>
    <s v="110311090201"/>
    <s v="2021/1"/>
    <n v="2"/>
    <s v="曾佳其"/>
    <n v="8"/>
    <n v="48"/>
  </r>
  <r>
    <s v="钣铆"/>
    <s v="J10C"/>
    <x v="25"/>
    <s v="04-19-20"/>
    <s v="C4P018"/>
    <d v="2021-01-09T00:00:00"/>
    <n v="2"/>
    <s v="110304000201"/>
    <s v="2021/1"/>
    <n v="2"/>
    <s v="张翔（大）"/>
    <n v="3"/>
    <n v="18"/>
  </r>
  <r>
    <s v="钣铆"/>
    <s v="J10C"/>
    <x v="26"/>
    <s v="07-3-20"/>
    <s v="C7P002"/>
    <d v="2021-01-13T00:00:00"/>
    <n v="9"/>
    <s v="110311000201"/>
    <s v="2021/1"/>
    <n v="9"/>
    <s v="高龙"/>
    <n v="3"/>
    <n v="27"/>
  </r>
  <r>
    <s v="钣铆"/>
    <s v="J10C"/>
    <x v="26"/>
    <s v="07-3-20"/>
    <s v="C7P002-1"/>
    <d v="2021-01-13T00:00:00"/>
    <n v="9"/>
    <s v="110311000201"/>
    <s v="2021/1"/>
    <n v="9"/>
    <s v="陈开兵"/>
    <n v="3"/>
    <n v="27"/>
  </r>
  <r>
    <s v="钣铆"/>
    <s v="CB"/>
    <x v="27"/>
    <s v="04-99-108"/>
    <s v="5P001"/>
    <d v="2021-01-14T00:00:00"/>
    <n v="10"/>
    <s v="110403000201"/>
    <s v="2021/1"/>
    <n v="10"/>
    <s v="冯斌"/>
    <n v="3"/>
    <n v="30"/>
  </r>
  <r>
    <s v="钣铆"/>
    <s v="J10C"/>
    <x v="28"/>
    <s v="07-1-8"/>
    <s v="C7P001"/>
    <d v="2021-01-14T00:00:00"/>
    <n v="8"/>
    <s v="110311090201"/>
    <s v="2021/1"/>
    <n v="8"/>
    <s v="廖黔川"/>
    <n v="7"/>
    <n v="56"/>
  </r>
  <r>
    <s v="钣铆"/>
    <s v="CB"/>
    <x v="29"/>
    <s v="05-102-111"/>
    <s v="5P003"/>
    <d v="2021-01-15T00:00:00"/>
    <n v="10"/>
    <s v="110403000201"/>
    <s v="2021/1"/>
    <n v="10"/>
    <s v="杨海成"/>
    <n v="4"/>
    <n v="40"/>
  </r>
  <r>
    <s v="钣铆"/>
    <s v="CB"/>
    <x v="30"/>
    <s v="05-105-114"/>
    <s v="5P003"/>
    <d v="2021-01-15T00:00:00"/>
    <n v="10"/>
    <s v="110403000201"/>
    <s v="2021/1"/>
    <n v="10"/>
    <s v="陈开兵"/>
    <n v="3"/>
    <n v="30"/>
  </r>
  <r>
    <s v="钣铆"/>
    <s v="J10S"/>
    <x v="9"/>
    <s v="04-15-16"/>
    <s v="C4P010"/>
    <d v="2021-01-12T00:00:00"/>
    <n v="2"/>
    <s v="110304070201"/>
    <s v="2021/1"/>
    <n v="2"/>
    <s v="刘德运"/>
    <n v="2"/>
    <n v="12"/>
  </r>
  <r>
    <s v="钣铆"/>
    <s v="CB"/>
    <x v="31"/>
    <s v="05-101-120"/>
    <s v="5P002"/>
    <d v="2021-01-12T00:00:00"/>
    <n v="4"/>
    <s v="402050001902"/>
    <s v="2021/1"/>
    <n v="4"/>
    <s v="杨磊"/>
    <n v="3"/>
    <n v="12"/>
  </r>
  <r>
    <s v="钣铆"/>
    <s v="J10S"/>
    <x v="32"/>
    <s v="04-15-15"/>
    <s v="C4P006"/>
    <d v="2021-01-12T00:00:00"/>
    <n v="1"/>
    <s v="110304070201"/>
    <s v="2021/1"/>
    <n v="1"/>
    <s v="樊晓龙"/>
    <n v="3"/>
    <n v="9"/>
  </r>
  <r>
    <s v="钣铆"/>
    <s v="CB"/>
    <x v="33"/>
    <s v="06-125-134"/>
    <s v="6P001"/>
    <d v="2021-01-13T00:00:00"/>
    <n v="9"/>
    <s v="110403000201"/>
    <s v="2021/1"/>
    <n v="9"/>
    <s v="张翔（大）"/>
    <n v="3"/>
    <n v="27"/>
  </r>
  <r>
    <s v="钣铆"/>
    <s v="CB"/>
    <x v="33"/>
    <s v="06-126-144"/>
    <s v="7P001"/>
    <d v="2021-01-13T00:00:00"/>
    <n v="11"/>
    <s v="110403000201"/>
    <s v="2021/1"/>
    <n v="11"/>
    <s v="周靓"/>
    <n v="3"/>
    <n v="33"/>
  </r>
  <r>
    <s v="钣铆"/>
    <s v="CB"/>
    <x v="34"/>
    <s v="04-99-110"/>
    <s v="5P001"/>
    <d v="2021-01-13T00:00:00"/>
    <n v="12"/>
    <s v="110403000201"/>
    <s v="2021/1"/>
    <n v="12"/>
    <s v="张翔（小）"/>
    <n v="3"/>
    <n v="36"/>
  </r>
  <r>
    <s v="钣铆"/>
    <s v="CB"/>
    <x v="35"/>
    <s v="05-116-116"/>
    <s v="5P003"/>
    <d v="2021-01-13T00:00:00"/>
    <n v="1"/>
    <s v="110403000201"/>
    <s v="2021/1"/>
    <n v="1"/>
    <s v="曾佳其"/>
    <n v="6"/>
    <n v="18"/>
  </r>
  <r>
    <s v="钣铆"/>
    <s v="CB"/>
    <x v="36"/>
    <s v="04-93-97"/>
    <s v="4P004"/>
    <d v="2021-01-13T00:00:00"/>
    <n v="5"/>
    <s v="110403000201"/>
    <s v="2021/1"/>
    <n v="5"/>
    <s v="成伟"/>
    <n v="3"/>
    <n v="15"/>
  </r>
  <r>
    <s v="钣铆"/>
    <s v="CB"/>
    <x v="37"/>
    <s v="04-100-106"/>
    <s v="5P001"/>
    <d v="2021-01-07T00:00:00"/>
    <n v="7"/>
    <s v="110403000201"/>
    <s v="2021/1"/>
    <n v="7"/>
    <s v="梁文科"/>
    <n v="3"/>
    <n v="21"/>
  </r>
  <r>
    <s v="钣铆"/>
    <s v="CB"/>
    <x v="38"/>
    <s v="05-106-110"/>
    <s v="5P002"/>
    <d v="2021-01-07T00:00:00"/>
    <n v="5"/>
    <s v="110403000201"/>
    <s v="2021/1"/>
    <n v="5"/>
    <s v="李茂"/>
    <n v="3"/>
    <n v="15"/>
  </r>
  <r>
    <s v="钣铆"/>
    <s v="CB"/>
    <x v="39"/>
    <s v="05-111-120"/>
    <s v="5P003"/>
    <d v="2021-01-07T00:00:00"/>
    <n v="10"/>
    <s v="110403000201"/>
    <s v="2021/1"/>
    <n v="10"/>
    <s v="曾礼杰"/>
    <n v="3"/>
    <n v="30"/>
  </r>
  <r>
    <s v="钣铆"/>
    <s v="CB"/>
    <x v="39"/>
    <s v="05-102-110"/>
    <s v="5P002"/>
    <d v="2021-01-07T00:00:00"/>
    <n v="9"/>
    <s v="110403000201"/>
    <s v="2021/1"/>
    <n v="9"/>
    <s v="龙涛"/>
    <n v="3"/>
    <n v="27"/>
  </r>
  <r>
    <s v="钣铆"/>
    <s v="CB"/>
    <x v="40"/>
    <s v="05-108-108"/>
    <s v="5P004"/>
    <d v="2021-01-07T00:00:00"/>
    <n v="1"/>
    <s v="110403000201"/>
    <s v="2021/1"/>
    <n v="1"/>
    <s v="周靓"/>
    <n v="4"/>
    <n v="12"/>
  </r>
  <r>
    <s v="钣铆"/>
    <s v="CB"/>
    <x v="40"/>
    <s v="05-107-107"/>
    <s v="5P003"/>
    <d v="2021-01-07T00:00:00"/>
    <n v="1"/>
    <s v="110403000201"/>
    <s v="2021/1"/>
    <n v="1"/>
    <s v="杨磊"/>
    <n v="4"/>
    <n v="12"/>
  </r>
  <r>
    <s v="钣铆"/>
    <s v="CB"/>
    <x v="37"/>
    <s v="05-114-120"/>
    <s v="5P003"/>
    <d v="2021-01-07T00:00:00"/>
    <n v="7"/>
    <s v="110403000201"/>
    <s v="2021/1"/>
    <n v="7"/>
    <s v="高龙"/>
    <n v="3"/>
    <n v="21"/>
  </r>
  <r>
    <s v="钣铆"/>
    <s v="J10C"/>
    <x v="41"/>
    <s v="04-15-16"/>
    <s v="C4P014"/>
    <d v="2021-01-07T00:00:00"/>
    <n v="2"/>
    <s v="110304070201"/>
    <s v="2021/1"/>
    <n v="2"/>
    <s v="刘强"/>
    <n v="5.0999999999999996"/>
    <n v="30.599999999999998"/>
  </r>
  <r>
    <s v="钣铆"/>
    <s v="J10C"/>
    <x v="42"/>
    <s v="07-18-20"/>
    <s v="C7P004"/>
    <d v="2021-01-07T00:00:00"/>
    <n v="3"/>
    <s v="110311000201"/>
    <s v="2021/1"/>
    <n v="3"/>
    <s v="邓学永"/>
    <n v="2.5"/>
    <n v="22.5"/>
  </r>
  <r>
    <s v="钣铆"/>
    <s v="J10C"/>
    <x v="43"/>
    <s v="07-1-20"/>
    <s v="C7P001"/>
    <d v="2021-01-08T00:00:00"/>
    <n v="10"/>
    <s v="110311000201"/>
    <s v="2021/1"/>
    <n v="10"/>
    <s v="李建宏"/>
    <n v="6"/>
    <n v="60"/>
  </r>
  <r>
    <s v="钣铆"/>
    <s v="J10C"/>
    <x v="44"/>
    <s v="07-9-20"/>
    <s v="7P002"/>
    <d v="2021-01-07T00:00:00"/>
    <n v="12"/>
    <s v="110311000201"/>
    <s v="2021/1"/>
    <n v="12"/>
    <s v="张翔（小）"/>
    <n v="2"/>
    <n v="24"/>
  </r>
  <r>
    <s v="钣铆"/>
    <s v="J10S"/>
    <x v="45"/>
    <s v="04-15-22"/>
    <s v="C4P015"/>
    <d v="2021-01-08T00:00:00"/>
    <n v="8"/>
    <s v="110304000201"/>
    <s v="2021/1"/>
    <n v="8"/>
    <s v="陈开兵"/>
    <n v="2.5"/>
    <n v="20"/>
  </r>
  <r>
    <s v="钣铆"/>
    <s v="J10S"/>
    <x v="46"/>
    <s v="04-15-19"/>
    <s v="4P004"/>
    <d v="2021-01-08T00:00:00"/>
    <n v="5"/>
    <s v="110304000201"/>
    <s v="2021/1"/>
    <n v="5"/>
    <s v="周靓"/>
    <n v="3"/>
    <n v="15"/>
  </r>
  <r>
    <s v="钣铆"/>
    <s v="J10C"/>
    <x v="26"/>
    <s v="07-1-2"/>
    <s v="C7P001"/>
    <d v="2021-01-11T00:00:00"/>
    <n v="2"/>
    <s v="110311090201"/>
    <s v="2021/1"/>
    <n v="2"/>
    <s v="高龙"/>
    <n v="3"/>
    <n v="18"/>
  </r>
  <r>
    <s v="钣铆"/>
    <s v="J10C"/>
    <x v="47"/>
    <s v="07-1-3"/>
    <s v="C7P001"/>
    <d v="2021-01-11T00:00:00"/>
    <n v="3"/>
    <s v="110311090201"/>
    <s v="2021/1"/>
    <n v="3"/>
    <s v="张翔（小）"/>
    <n v="2.5"/>
    <n v="22.5"/>
  </r>
  <r>
    <s v="钣铆"/>
    <s v="J10C"/>
    <x v="45"/>
    <s v="07-11-18"/>
    <s v="C7P002"/>
    <d v="2021-01-11T00:00:00"/>
    <n v="8"/>
    <s v="110311000201"/>
    <s v="2021/1"/>
    <n v="8"/>
    <s v="邓学永"/>
    <n v="2.5"/>
    <n v="20"/>
  </r>
  <r>
    <s v="钣铆"/>
    <s v="J10C"/>
    <x v="45"/>
    <s v="07-1-10"/>
    <s v="C7P001"/>
    <d v="2021-01-11T00:00:00"/>
    <n v="10"/>
    <s v="110311000201"/>
    <s v="2021/1"/>
    <n v="10"/>
    <s v="刘德运"/>
    <n v="2.5"/>
    <n v="25"/>
  </r>
  <r>
    <s v="钣铆"/>
    <s v="J10S"/>
    <x v="48"/>
    <s v="04-15-16"/>
    <s v="C4P008"/>
    <d v="2021-01-12T00:00:00"/>
    <n v="2"/>
    <s v="110304070201"/>
    <s v="2021/1"/>
    <n v="2"/>
    <s v="梁文科"/>
    <n v="2"/>
    <n v="12"/>
  </r>
  <r>
    <s v="钣铆"/>
    <s v="J10C"/>
    <x v="49"/>
    <s v="07-1-20"/>
    <s v="C7P001-1"/>
    <d v="2021-01-12T00:00:00"/>
    <n v="10"/>
    <s v="110311000201"/>
    <s v="2021/1"/>
    <n v="9"/>
    <s v="曾礼杰"/>
    <n v="3"/>
    <n v="27"/>
  </r>
  <r>
    <s v="钣铆"/>
    <s v="GU"/>
    <x v="50"/>
    <s v="00-63-68"/>
    <s v="00P005"/>
    <d v="2021-01-08T00:00:00"/>
    <n v="4"/>
    <s v="111503000202"/>
    <s v="2021/1"/>
    <n v="4"/>
    <s v="曾佳其"/>
    <n v="5"/>
    <n v="20"/>
  </r>
  <r>
    <s v="钣铆"/>
    <s v="GU"/>
    <x v="51"/>
    <s v="00-68-68"/>
    <s v="00P003"/>
    <d v="2021-01-09T00:00:00"/>
    <n v="1"/>
    <s v="111503000201"/>
    <s v="2021/1"/>
    <n v="1"/>
    <s v="邓长春"/>
    <n v="10"/>
    <n v="30"/>
  </r>
  <r>
    <s v="钣铆"/>
    <s v="J10S"/>
    <x v="52"/>
    <s v="04-15-22"/>
    <s v="4P003"/>
    <d v="2021-01-11T00:00:00"/>
    <n v="8"/>
    <s v="110304000201"/>
    <s v="2021/1"/>
    <n v="8"/>
    <s v="刘强"/>
    <n v="3"/>
    <n v="24"/>
  </r>
  <r>
    <s v="钣铆"/>
    <s v="J10C"/>
    <x v="53"/>
    <s v="07-21-32"/>
    <s v="7P002"/>
    <d v="2021-01-11T00:00:00"/>
    <n v="12"/>
    <s v="110311000201"/>
    <s v="2021/1"/>
    <n v="12"/>
    <s v="张翔（小）"/>
    <n v="2.5"/>
    <n v="30"/>
  </r>
  <r>
    <s v="钣铆"/>
    <s v="J10S"/>
    <x v="54"/>
    <s v="04-15-22"/>
    <s v="4P003"/>
    <d v="2021-01-11T00:00:00"/>
    <n v="8"/>
    <s v="110304000201"/>
    <s v="2021/1"/>
    <n v="8"/>
    <s v="杨磊"/>
    <n v="3"/>
    <n v="24"/>
  </r>
  <r>
    <s v="钣铆"/>
    <s v="J10S"/>
    <x v="46"/>
    <s v="04-20-22"/>
    <s v="4P005"/>
    <d v="2021-01-11T00:00:00"/>
    <n v="3"/>
    <s v="110304000201"/>
    <s v="2021/1"/>
    <n v="3"/>
    <s v="樊晓龙"/>
    <n v="3"/>
    <n v="27"/>
  </r>
  <r>
    <s v="钣铆"/>
    <s v="J10C"/>
    <x v="55"/>
    <s v="07-1-20"/>
    <s v="C7P001"/>
    <d v="2021-01-11T00:00:00"/>
    <n v="10"/>
    <s v="110311000201"/>
    <s v="2021/1"/>
    <n v="10"/>
    <s v="陈开兵"/>
    <n v="3"/>
    <n v="30"/>
  </r>
  <r>
    <s v="钣铆"/>
    <s v="J10C"/>
    <x v="56"/>
    <s v="07-1-20"/>
    <s v="C7P001"/>
    <d v="2021-01-11T00:00:00"/>
    <n v="10"/>
    <s v="110311000201"/>
    <s v="2021/1"/>
    <n v="10"/>
    <s v="李建宏"/>
    <n v="4.0999999999999996"/>
    <n v="41"/>
  </r>
  <r>
    <s v="钣铆"/>
    <s v="J10S"/>
    <x v="57"/>
    <s v="04-15-22"/>
    <s v="C4P004"/>
    <d v="2021-01-11T00:00:00"/>
    <n v="8"/>
    <s v="110304000201"/>
    <s v="2021/1"/>
    <n v="8"/>
    <s v="陈开兵"/>
    <n v="5"/>
    <n v="40"/>
  </r>
  <r>
    <s v="钣铆"/>
    <s v="J10S"/>
    <x v="58"/>
    <s v="04-15-22"/>
    <s v="C4P004"/>
    <d v="2021-01-11T00:00:00"/>
    <n v="8"/>
    <s v="110304000201"/>
    <s v="2021/1"/>
    <n v="8"/>
    <s v="刘强"/>
    <n v="6"/>
    <n v="48"/>
  </r>
  <r>
    <s v="钣铆"/>
    <s v="CB"/>
    <x v="59"/>
    <s v="05-102-110"/>
    <s v="5P002"/>
    <d v="2021-01-09T00:00:00"/>
    <n v="9"/>
    <s v="110403000201"/>
    <s v="2021/1"/>
    <n v="9"/>
    <s v="刘强"/>
    <n v="4"/>
    <n v="36"/>
  </r>
  <r>
    <s v="钣铆"/>
    <s v="CB"/>
    <x v="59"/>
    <s v="05-111-119"/>
    <s v="5P003"/>
    <d v="2021-01-09T00:00:00"/>
    <n v="9"/>
    <s v="110403000201"/>
    <s v="2021/1"/>
    <n v="9"/>
    <s v="杨海成"/>
    <n v="4"/>
    <n v="36"/>
  </r>
  <r>
    <s v="钣铆"/>
    <s v="CB"/>
    <x v="60"/>
    <s v="05-107-113"/>
    <s v="5P002"/>
    <d v="2021-01-09T00:00:00"/>
    <n v="7"/>
    <s v="110403000201"/>
    <s v="2021/1"/>
    <n v="7"/>
    <s v="廖黔川"/>
    <n v="3"/>
    <n v="21"/>
  </r>
  <r>
    <s v="钣铆"/>
    <s v="CB"/>
    <x v="60"/>
    <s v="04-99-106"/>
    <s v="5P001"/>
    <d v="2021-01-09T00:00:00"/>
    <n v="8"/>
    <s v="110403000201"/>
    <s v="2021/1"/>
    <n v="8"/>
    <s v="刘德运"/>
    <n v="3"/>
    <n v="24"/>
  </r>
  <r>
    <s v="钣铆"/>
    <s v="CB"/>
    <x v="60"/>
    <s v="05-114-120"/>
    <s v="5P003"/>
    <d v="2021-01-09T00:00:00"/>
    <n v="7"/>
    <s v="110403000201"/>
    <s v="2021/1"/>
    <n v="7"/>
    <s v="成伟"/>
    <n v="3"/>
    <n v="21"/>
  </r>
  <r>
    <s v="钣铆"/>
    <s v="CB"/>
    <x v="61"/>
    <s v="05-107-113"/>
    <s v="5P002"/>
    <d v="2021-01-09T00:00:00"/>
    <n v="7"/>
    <s v="110403000201"/>
    <s v="2021/1"/>
    <n v="7"/>
    <s v="邓学永"/>
    <n v="4"/>
    <n v="28"/>
  </r>
  <r>
    <s v="钣铆"/>
    <s v="CB"/>
    <x v="61"/>
    <s v="05-114-120"/>
    <s v="5P003"/>
    <d v="2021-01-09T00:00:00"/>
    <n v="7"/>
    <s v="110403000201"/>
    <s v="2021/1"/>
    <n v="7"/>
    <s v="高龙"/>
    <n v="4"/>
    <n v="28"/>
  </r>
  <r>
    <s v="钣铆"/>
    <s v="CB"/>
    <x v="61"/>
    <s v="04-99-106"/>
    <s v="5P001"/>
    <d v="2021-01-09T00:00:00"/>
    <n v="8"/>
    <s v="110403000201"/>
    <s v="2021/1"/>
    <n v="8"/>
    <s v="杨磊"/>
    <n v="4"/>
    <n v="32"/>
  </r>
  <r>
    <s v="钣铆"/>
    <s v="CB"/>
    <x v="62"/>
    <s v="05-109-111"/>
    <s v="5P002"/>
    <d v="2021-01-09T00:00:00"/>
    <n v="3"/>
    <s v="110403000201"/>
    <s v="2021/1"/>
    <n v="3"/>
    <s v="张翔（小）"/>
    <n v="3"/>
    <n v="27"/>
  </r>
  <r>
    <s v="钣铆"/>
    <s v="J10S"/>
    <x v="63"/>
    <s v="04-16-22"/>
    <s v="C4P006"/>
    <d v="2021-01-11T00:00:00"/>
    <n v="7"/>
    <s v="110304000201"/>
    <s v="2021/1"/>
    <n v="7"/>
    <s v="陈开兵"/>
    <n v="2.1"/>
    <n v="14.700000000000001"/>
  </r>
  <r>
    <s v="钣铆"/>
    <s v="CB"/>
    <x v="64"/>
    <s v="04-99-106"/>
    <s v="5P001"/>
    <d v="2021-01-11T00:00:00"/>
    <n v="8"/>
    <s v="110403000201"/>
    <s v="2021/1"/>
    <n v="8"/>
    <s v="周靓"/>
    <n v="3"/>
    <n v="24"/>
  </r>
  <r>
    <s v="钣铆"/>
    <s v="CB"/>
    <x v="65"/>
    <s v="04-99-106"/>
    <s v="5P001"/>
    <d v="2021-01-11T00:00:00"/>
    <n v="8"/>
    <s v="110403000201"/>
    <s v="2021/1"/>
    <n v="8"/>
    <s v="陈开兵"/>
    <n v="3"/>
    <n v="24"/>
  </r>
  <r>
    <s v="钣铆"/>
    <s v="CB"/>
    <x v="65"/>
    <s v="05-107-113"/>
    <s v="5P002"/>
    <d v="2021-01-11T00:00:00"/>
    <n v="7"/>
    <s v="110403000201"/>
    <s v="2021/1"/>
    <n v="7"/>
    <s v="张翔（大）"/>
    <n v="3"/>
    <n v="21"/>
  </r>
  <r>
    <s v="钣铆"/>
    <s v="CB"/>
    <x v="65"/>
    <s v="05-114-120"/>
    <s v="5P003"/>
    <d v="2021-01-11T00:00:00"/>
    <n v="7"/>
    <s v="110403000201"/>
    <s v="2021/1"/>
    <n v="7"/>
    <s v="邓学永"/>
    <n v="3"/>
    <n v="21"/>
  </r>
  <r>
    <s v="钣铆"/>
    <s v="CB"/>
    <x v="64"/>
    <s v="05-115-120"/>
    <s v="5P003"/>
    <d v="2021-01-11T00:00:00"/>
    <n v="6"/>
    <s v="110403000201"/>
    <s v="2021/1"/>
    <n v="6"/>
    <s v="陈开兵"/>
    <n v="3"/>
    <n v="18"/>
  </r>
  <r>
    <s v="钣铆"/>
    <s v="CB"/>
    <x v="64"/>
    <s v="05-107-114"/>
    <s v="5P002"/>
    <d v="2021-01-11T00:00:00"/>
    <n v="8"/>
    <s v="110403000201"/>
    <s v="2021/1"/>
    <n v="8"/>
    <s v="冯斌"/>
    <n v="3"/>
    <n v="24"/>
  </r>
  <r>
    <s v="钣铆"/>
    <s v="J10C"/>
    <x v="66"/>
    <s v="07-1-20"/>
    <s v="C7P001-1"/>
    <d v="2021-01-06T00:00:00"/>
    <n v="10"/>
    <s v="110311000201"/>
    <s v="2021/1"/>
    <n v="10"/>
    <s v="曾礼杰"/>
    <n v="2"/>
    <n v="20"/>
  </r>
  <r>
    <s v="钣铆"/>
    <s v="J10C"/>
    <x v="67"/>
    <s v="06-1-16"/>
    <s v="C6P008"/>
    <d v="2021-01-06T00:00:00"/>
    <n v="6"/>
    <s v="110311000202"/>
    <s v="2021/1"/>
    <n v="6"/>
    <s v="杨峰"/>
    <n v="3.5"/>
    <n v="21"/>
  </r>
  <r>
    <s v="钣铆"/>
    <s v="J10C"/>
    <x v="68"/>
    <s v="06-1-40"/>
    <s v="C6P009"/>
    <d v="2021-01-06T00:00:00"/>
    <n v="13"/>
    <s v="110311000202"/>
    <s v="2021/1"/>
    <n v="13"/>
    <s v="杨建"/>
    <n v="6"/>
    <n v="78"/>
  </r>
  <r>
    <s v="钣铆"/>
    <s v="J10C"/>
    <x v="69"/>
    <s v="07-1-20"/>
    <s v="C7P001"/>
    <d v="2021-01-06T00:00:00"/>
    <n v="10"/>
    <s v="110311000201"/>
    <s v="2021/1"/>
    <n v="10"/>
    <s v="李茂"/>
    <n v="2.5"/>
    <n v="25"/>
  </r>
  <r>
    <s v="钣铆"/>
    <s v="J10C"/>
    <x v="69"/>
    <s v="07-1-20"/>
    <s v="C7P001-1"/>
    <d v="2021-01-06T00:00:00"/>
    <n v="10"/>
    <s v="110311000201"/>
    <s v="2021/1"/>
    <n v="9"/>
    <s v="黄新生"/>
    <n v="2.5"/>
    <n v="22.5"/>
  </r>
  <r>
    <s v="钣铆"/>
    <s v="J10C"/>
    <x v="67"/>
    <s v="07-1-20"/>
    <s v="C7P001"/>
    <d v="2021-01-06T00:00:00"/>
    <n v="10"/>
    <s v="110311000201"/>
    <s v="2021/1"/>
    <n v="10"/>
    <s v="冯斌"/>
    <n v="3.5"/>
    <n v="35"/>
  </r>
  <r>
    <s v="钣铆"/>
    <s v="J10C"/>
    <x v="67"/>
    <s v="07-1-20"/>
    <s v="C7P001-1"/>
    <d v="2021-01-06T00:00:00"/>
    <n v="10"/>
    <s v="110311000201"/>
    <s v="2021/1"/>
    <n v="10"/>
    <s v="梁文科"/>
    <n v="3.5"/>
    <n v="35"/>
  </r>
  <r>
    <s v="钣铆"/>
    <s v="FC1"/>
    <x v="70"/>
    <s v="03-3026-3027"/>
    <s v="3P004"/>
    <d v="2021-01-07T00:00:00"/>
    <n v="2"/>
    <s v="110204000201"/>
    <s v="2021/1"/>
    <n v="2"/>
    <s v="陈开兵"/>
    <n v="8"/>
    <n v="48"/>
  </r>
  <r>
    <s v="钣铆"/>
    <s v="J10C"/>
    <x v="71"/>
    <s v="07-1-10"/>
    <s v="C7P001"/>
    <d v="2021-01-06T00:00:00"/>
    <n v="10"/>
    <s v="110311000201"/>
    <s v="2021/1"/>
    <n v="10"/>
    <s v="樊晓龙"/>
    <n v="2"/>
    <n v="20"/>
  </r>
  <r>
    <s v="钣铆"/>
    <s v="FC1"/>
    <x v="70"/>
    <s v="03-3024-3025"/>
    <s v="3P005"/>
    <d v="2021-01-07T00:00:00"/>
    <n v="2"/>
    <s v="110204000201"/>
    <s v="2021/1"/>
    <n v="2"/>
    <s v="杨磊"/>
    <n v="8"/>
    <n v="48"/>
  </r>
  <r>
    <s v="钣铆"/>
    <s v="CB"/>
    <x v="72"/>
    <s v="04-87-91"/>
    <s v="4P004"/>
    <d v="2021-01-07T00:00:00"/>
    <n v="5"/>
    <s v="110204000201"/>
    <s v="2021/1"/>
    <n v="5"/>
    <s v="梁文科"/>
    <n v="7"/>
    <n v="35"/>
  </r>
  <r>
    <s v="钣铆"/>
    <s v="CB"/>
    <x v="73"/>
    <s v="05-101-120"/>
    <s v="5P001"/>
    <d v="2021-01-05T00:00:00"/>
    <n v="10"/>
    <s v="110204000201"/>
    <s v="2021/1"/>
    <n v="10"/>
    <s v="邓学永"/>
    <n v="6"/>
    <n v="60"/>
  </r>
  <r>
    <s v="钣铆"/>
    <s v="CB"/>
    <x v="74"/>
    <s v="05-114-120"/>
    <s v="5P003"/>
    <d v="2021-01-07T00:00:00"/>
    <n v="7"/>
    <s v="110403000201"/>
    <s v="2021/1"/>
    <n v="7"/>
    <s v="黄新生"/>
    <n v="3"/>
    <n v="21"/>
  </r>
  <r>
    <s v="钣铆"/>
    <s v="CB"/>
    <x v="74"/>
    <s v="04-99-106"/>
    <s v="5P001"/>
    <d v="2021-01-07T00:00:00"/>
    <n v="8"/>
    <s v="110403000201"/>
    <s v="2021/1"/>
    <n v="8"/>
    <s v="周虎"/>
    <n v="3"/>
    <n v="24"/>
  </r>
  <r>
    <s v="钣铆"/>
    <s v="CB"/>
    <x v="37"/>
    <s v="05-107-113"/>
    <s v="5P002"/>
    <d v="2021-01-07T00:00:00"/>
    <n v="7"/>
    <s v="110403000201"/>
    <s v="2021/1"/>
    <n v="7"/>
    <s v="张翔（小）"/>
    <n v="3"/>
    <n v="21"/>
  </r>
  <r>
    <s v="钣铆"/>
    <s v="CB"/>
    <x v="75"/>
    <s v="04-91-93"/>
    <s v="4P003"/>
    <d v="2021-01-06T00:00:00"/>
    <n v="3"/>
    <s v="110403000201"/>
    <s v="2021/1"/>
    <n v="3"/>
    <s v="陈开兵"/>
    <n v="3"/>
    <n v="27"/>
  </r>
  <r>
    <s v="钣铆"/>
    <s v="CB"/>
    <x v="75"/>
    <s v="04-94-108"/>
    <s v="5P001"/>
    <d v="2021-01-06T00:00:00"/>
    <n v="7"/>
    <s v="110403000201"/>
    <s v="2021/1"/>
    <n v="7"/>
    <s v="冯斌"/>
    <n v="3"/>
    <n v="21"/>
  </r>
  <r>
    <s v="钣铆"/>
    <s v="CB"/>
    <x v="75"/>
    <s v="04-94-108"/>
    <s v="5P001-1"/>
    <d v="2021-01-06T00:00:00"/>
    <n v="8"/>
    <s v="110403000201"/>
    <s v="2021/1"/>
    <n v="8"/>
    <s v="张翔（小）"/>
    <n v="3"/>
    <n v="24"/>
  </r>
  <r>
    <s v="钣铆"/>
    <s v="CB"/>
    <x v="76"/>
    <s v="05-102-113"/>
    <s v="5P003"/>
    <d v="2021-01-05T00:00:00"/>
    <n v="12"/>
    <s v="110403000201"/>
    <s v="2021/1"/>
    <n v="12"/>
    <s v="廖黔川"/>
    <n v="7"/>
    <n v="84"/>
  </r>
  <r>
    <s v="钣铆"/>
    <s v="CB"/>
    <x v="77"/>
    <s v="06-126-127"/>
    <s v="6P002"/>
    <d v="2021-01-05T00:00:00"/>
    <n v="2"/>
    <s v="110403000201"/>
    <s v="2021/1"/>
    <n v="2"/>
    <s v="周虎"/>
    <n v="3"/>
    <n v="18"/>
  </r>
  <r>
    <s v="钣铆"/>
    <s v="CB"/>
    <x v="78"/>
    <s v="04-99-103"/>
    <s v="5P001"/>
    <d v="2021-01-05T00:00:00"/>
    <n v="5"/>
    <s v="110403000201"/>
    <s v="2021/1"/>
    <n v="5"/>
    <s v="李红兵"/>
    <n v="12"/>
    <n v="60"/>
  </r>
  <r>
    <s v="钣铆"/>
    <s v="CB"/>
    <x v="78"/>
    <s v="05-104-108"/>
    <s v="5P002"/>
    <d v="2021-01-05T00:00:00"/>
    <n v="5"/>
    <s v="110403000201"/>
    <s v="2021/1"/>
    <n v="5"/>
    <s v="李茂"/>
    <n v="12"/>
    <n v="60"/>
  </r>
  <r>
    <s v="钣铆"/>
    <s v="J10S"/>
    <x v="79"/>
    <s v="04-15-22"/>
    <s v="C4P004"/>
    <d v="2021-01-06T00:00:00"/>
    <n v="8"/>
    <s v="110403000201"/>
    <s v="2021/1"/>
    <n v="8"/>
    <s v="杨峰"/>
    <n v="3"/>
    <n v="24"/>
  </r>
  <r>
    <s v="钣铆"/>
    <s v="J10C"/>
    <x v="80"/>
    <s v="06-16-40"/>
    <s v="C6P005"/>
    <d v="2021-01-06T00:00:00"/>
    <n v="7"/>
    <s v="110403000201"/>
    <s v="2021/1"/>
    <n v="7"/>
    <s v="冯斌"/>
    <n v="3.5"/>
    <n v="24.5"/>
  </r>
  <r>
    <s v="钣铆"/>
    <s v="J10C"/>
    <x v="81"/>
    <s v="07-1-10"/>
    <s v="C7P001"/>
    <d v="2021-01-06T00:00:00"/>
    <n v="10"/>
    <s v="110403000201"/>
    <s v="2021/1"/>
    <n v="10"/>
    <s v="周虎"/>
    <n v="2.5"/>
    <n v="25"/>
  </r>
  <r>
    <s v="钣铆"/>
    <s v="J10S"/>
    <x v="82"/>
    <s v="04-15-22"/>
    <s v="C4P004"/>
    <d v="2021-01-06T00:00:00"/>
    <n v="8"/>
    <s v="110304000201"/>
    <s v="2021/1"/>
    <n v="8"/>
    <s v="杨磊"/>
    <n v="3"/>
    <n v="24"/>
  </r>
  <r>
    <s v="钣铆"/>
    <s v="CB"/>
    <x v="83"/>
    <s v="05-101-102"/>
    <s v="5P001"/>
    <d v="2021-01-06T00:00:00"/>
    <n v="2"/>
    <s v="110403000201"/>
    <s v="2021/1"/>
    <n v="2"/>
    <s v="杨建"/>
    <n v="8"/>
    <n v="48"/>
  </r>
  <r>
    <s v="钣铆"/>
    <s v="CB"/>
    <x v="84"/>
    <s v="06-121-122"/>
    <s v="6P001"/>
    <d v="2021-01-06T00:00:00"/>
    <n v="2"/>
    <s v="110403000201"/>
    <s v="2021/1"/>
    <n v="2"/>
    <s v="刘德运"/>
    <n v="4"/>
    <n v="24"/>
  </r>
  <r>
    <s v="钣铆"/>
    <s v="J10C"/>
    <x v="68"/>
    <s v="07-1-6"/>
    <s v="C7P001"/>
    <d v="2021-01-06T00:00:00"/>
    <n v="6"/>
    <s v="110311090201"/>
    <s v="2021/1"/>
    <n v="6"/>
    <s v="邓长春"/>
    <n v="6"/>
    <n v="36"/>
  </r>
  <r>
    <s v="钣铆"/>
    <s v="J10C"/>
    <x v="66"/>
    <s v="07-1-20"/>
    <s v="C7P001"/>
    <d v="2021-01-06T00:00:00"/>
    <n v="10"/>
    <s v="110311000201"/>
    <s v="2021/1"/>
    <n v="10"/>
    <s v="龙涛"/>
    <n v="2"/>
    <n v="20"/>
  </r>
  <r>
    <s v="钣铆"/>
    <s v="CB"/>
    <x v="85"/>
    <s v="04-99-106"/>
    <s v="5P001"/>
    <d v="2021-01-04T00:00:00"/>
    <n v="8"/>
    <s v="110403000201"/>
    <s v="2021/1"/>
    <n v="8"/>
    <s v="冯斌"/>
    <n v="5"/>
    <n v="40"/>
  </r>
  <r>
    <s v="钣铆"/>
    <s v="CB"/>
    <x v="86"/>
    <s v="04-87-96"/>
    <s v="4P003"/>
    <d v="2021-01-04T00:00:00"/>
    <n v="10"/>
    <s v="110403000201"/>
    <s v="2021/1"/>
    <n v="10"/>
    <s v="杨建"/>
    <n v="3"/>
    <n v="30"/>
  </r>
  <r>
    <s v="钣铆"/>
    <s v="CB"/>
    <x v="86"/>
    <s v="04-97-106"/>
    <s v="5P001"/>
    <d v="2021-01-04T00:00:00"/>
    <n v="10"/>
    <s v="110403000201"/>
    <s v="2021/1"/>
    <n v="10"/>
    <s v="杨海成"/>
    <n v="3"/>
    <n v="30"/>
  </r>
  <r>
    <s v="钣铆"/>
    <s v="CB"/>
    <x v="87"/>
    <s v="05-106-113"/>
    <s v="5P002"/>
    <d v="2021-01-04T00:00:00"/>
    <n v="8"/>
    <s v="110403000201"/>
    <s v="2021/1"/>
    <n v="8"/>
    <s v="高龙"/>
    <n v="4"/>
    <n v="32"/>
  </r>
  <r>
    <s v="钣铆"/>
    <s v="CB"/>
    <x v="87"/>
    <s v="06-121-127"/>
    <s v="6P001"/>
    <d v="2021-01-04T00:00:00"/>
    <n v="7"/>
    <s v="110403000201"/>
    <s v="2021/1"/>
    <n v="7"/>
    <s v="陈开兵"/>
    <n v="4"/>
    <n v="28"/>
  </r>
  <r>
    <s v="钣铆"/>
    <s v="CB"/>
    <x v="87"/>
    <s v="05-114-120"/>
    <s v="5P003"/>
    <d v="2021-01-04T00:00:00"/>
    <n v="7"/>
    <s v="110403000201"/>
    <s v="2021/1"/>
    <n v="7"/>
    <s v="张翔（大）"/>
    <n v="4"/>
    <n v="28"/>
  </r>
  <r>
    <s v="钣铆"/>
    <s v="CB"/>
    <x v="88"/>
    <s v="05-106-107"/>
    <s v="5P004"/>
    <d v="2021-01-04T00:00:00"/>
    <n v="2"/>
    <s v="110403000201"/>
    <s v="2021/1"/>
    <n v="2"/>
    <s v="李建宏"/>
    <n v="8"/>
    <n v="48"/>
  </r>
  <r>
    <s v="钣铆"/>
    <s v="J10C"/>
    <x v="89"/>
    <s v="07-1-20"/>
    <s v="C7P003"/>
    <d v="2021-01-04T00:00:00"/>
    <n v="15"/>
    <s v="110311000202"/>
    <s v="2021/1"/>
    <n v="15"/>
    <s v="杨磊"/>
    <n v="10"/>
    <n v="150"/>
  </r>
  <r>
    <s v="钣铆"/>
    <s v="J10S"/>
    <x v="90"/>
    <s v="04-15-22"/>
    <s v="C4P009"/>
    <d v="2021-01-04T00:00:00"/>
    <n v="6"/>
    <s v="110304000201"/>
    <s v="2021/1"/>
    <n v="6"/>
    <s v="邓长春"/>
    <n v="4.5"/>
    <n v="27"/>
  </r>
  <r>
    <s v="钣铆"/>
    <s v="J10S"/>
    <x v="91"/>
    <s v="04-15-22"/>
    <s v="4P004"/>
    <d v="2021-01-04T00:00:00"/>
    <n v="8"/>
    <s v="110403000201"/>
    <s v="2021/1"/>
    <n v="8"/>
    <s v="杨峰"/>
    <n v="4"/>
    <n v="32"/>
  </r>
  <r>
    <s v="钣铆"/>
    <s v="J10C"/>
    <x v="92"/>
    <s v="07-1-8"/>
    <s v="7P001"/>
    <d v="2021-01-19T00:00:00"/>
    <n v="8"/>
    <s v="110311090201"/>
    <s v="2021/1"/>
    <n v="8"/>
    <s v="刘强"/>
    <n v="4"/>
    <n v="32"/>
  </r>
  <r>
    <s v="钣铆"/>
    <s v="CB"/>
    <x v="93"/>
    <s v="04-87-96"/>
    <s v="4P003"/>
    <d v="2021-01-04T00:00:00"/>
    <n v="10"/>
    <s v="110403000201"/>
    <s v="2021/1"/>
    <n v="10"/>
    <s v="廖黔川"/>
    <n v="8"/>
    <n v="80"/>
  </r>
  <r>
    <s v="钣铆"/>
    <s v="J10C"/>
    <x v="94"/>
    <s v="07-1-16"/>
    <s v="C7P001-1"/>
    <d v="2020-12-30T00:00:00"/>
    <n v="8"/>
    <s v="110311000201"/>
    <s v="2021/1"/>
    <n v="8"/>
    <s v="杨磊"/>
    <n v="4"/>
    <n v="32"/>
  </r>
  <r>
    <s v="钣铆"/>
    <s v="J10C"/>
    <x v="95"/>
    <s v="07-1-20"/>
    <s v="C7P001"/>
    <d v="2020-12-30T00:00:00"/>
    <n v="10"/>
    <s v="110311000201"/>
    <s v="2021/1"/>
    <n v="10"/>
    <s v="张翔（小）"/>
    <n v="2"/>
    <n v="20"/>
  </r>
  <r>
    <s v="钣铆"/>
    <s v="J10C"/>
    <x v="95"/>
    <s v="07-1-20"/>
    <s v="C7P001-1"/>
    <d v="2020-12-30T00:00:00"/>
    <n v="10"/>
    <s v="110311000201"/>
    <s v="2021/1"/>
    <n v="10"/>
    <s v="樊晓龙"/>
    <n v="2"/>
    <n v="20"/>
  </r>
  <r>
    <s v="钣铆"/>
    <s v="J10C"/>
    <x v="96"/>
    <s v="07-1-20"/>
    <s v="C7P001"/>
    <d v="2020-12-30T00:00:00"/>
    <n v="10"/>
    <s v="110311000201"/>
    <s v="2021/1"/>
    <n v="10"/>
    <s v="高龙"/>
    <n v="2.5"/>
    <n v="25"/>
  </r>
  <r>
    <s v="钣铆"/>
    <s v="J10C"/>
    <x v="96"/>
    <s v="07-1-20"/>
    <s v="C7P001-1"/>
    <d v="2020-12-30T00:00:00"/>
    <n v="10"/>
    <s v="110311000201"/>
    <s v="2021/1"/>
    <n v="10"/>
    <s v="张翔（大）"/>
    <n v="2.5"/>
    <n v="25"/>
  </r>
  <r>
    <s v="钣铆"/>
    <s v="J10C"/>
    <x v="97"/>
    <s v="07-1-20"/>
    <s v="C7P001"/>
    <d v="2020-12-29T00:00:00"/>
    <n v="10"/>
    <s v="110311000201"/>
    <s v="2021/1"/>
    <n v="10"/>
    <s v="曾礼杰"/>
    <n v="2.5"/>
    <n v="25"/>
  </r>
  <r>
    <s v="钣铆"/>
    <s v="J10C"/>
    <x v="42"/>
    <s v="07-14-17"/>
    <s v="C7P003"/>
    <d v="2020-12-30T00:00:00"/>
    <n v="4"/>
    <s v="110311000201"/>
    <s v="2021/1"/>
    <n v="4"/>
    <s v="冯斌"/>
    <n v="2.5"/>
    <n v="10"/>
  </r>
  <r>
    <s v="钣铆"/>
    <s v="J10C"/>
    <x v="97"/>
    <s v="07-1-20"/>
    <s v="C7P001-1"/>
    <d v="2020-12-29T00:00:00"/>
    <n v="10"/>
    <s v="110311000201"/>
    <s v="2021/1"/>
    <n v="10"/>
    <s v="李勇"/>
    <n v="2.5"/>
    <n v="25"/>
  </r>
  <r>
    <s v="钣铆"/>
    <s v="CB"/>
    <x v="98"/>
    <s v="05-101-120"/>
    <s v="5P001"/>
    <d v="2021-01-04T00:00:00"/>
    <n v="5"/>
    <s v="110403000201"/>
    <s v="2021/1"/>
    <n v="5"/>
    <s v="李红兵"/>
    <n v="6"/>
    <n v="30"/>
  </r>
  <r>
    <s v="钣铆"/>
    <s v="CB"/>
    <x v="98"/>
    <s v="05-101-101"/>
    <s v="5P002"/>
    <d v="2021-01-04T00:00:00"/>
    <n v="1"/>
    <s v="110403000201"/>
    <s v="2021/1"/>
    <n v="1"/>
    <s v="李红兵"/>
    <n v="6"/>
    <n v="18"/>
  </r>
  <r>
    <s v="钣铆"/>
    <s v="CB"/>
    <x v="98"/>
    <s v="05-102-102"/>
    <s v="5P003"/>
    <d v="2021-01-04T00:00:00"/>
    <n v="1"/>
    <s v="110403000201"/>
    <s v="2021/1"/>
    <n v="1"/>
    <s v="曾佳其"/>
    <n v="6"/>
    <n v="18"/>
  </r>
  <r>
    <s v="钣铆"/>
    <s v="CB"/>
    <x v="98"/>
    <s v="05-103-103"/>
    <s v="5P004"/>
    <d v="2021-01-04T00:00:00"/>
    <n v="1"/>
    <s v="110403000201"/>
    <s v="2021/1"/>
    <n v="1"/>
    <s v="成伟"/>
    <n v="6"/>
    <n v="18"/>
  </r>
  <r>
    <s v="钣铆"/>
    <s v="CB"/>
    <x v="85"/>
    <s v="05-114-120"/>
    <s v="5P003"/>
    <d v="2021-01-04T00:00:00"/>
    <n v="7"/>
    <s v="110403000201"/>
    <s v="2021/1"/>
    <n v="7"/>
    <s v="邓学永"/>
    <n v="5"/>
    <n v="35"/>
  </r>
  <r>
    <s v="钣铆"/>
    <s v="CB"/>
    <x v="85"/>
    <s v="05-107-113"/>
    <s v="5P002"/>
    <d v="2021-01-04T00:00:00"/>
    <n v="7"/>
    <s v="110403000201"/>
    <s v="2021/1"/>
    <n v="7"/>
    <s v="梁文科"/>
    <n v="5"/>
    <n v="35"/>
  </r>
  <r>
    <s v="钣铆"/>
    <s v="J10C"/>
    <x v="99"/>
    <s v="06-17-40"/>
    <s v="6P004"/>
    <d v="2020-12-31T00:00:00"/>
    <n v="8"/>
    <s v="110311000202"/>
    <s v="2021/1"/>
    <n v="8"/>
    <s v="李红兵"/>
    <n v="5"/>
    <n v="40"/>
  </r>
  <r>
    <s v="钣铆"/>
    <s v="J10C"/>
    <x v="100"/>
    <s v="06-17-40"/>
    <s v="6P007"/>
    <d v="2020-12-31T00:00:00"/>
    <n v="14"/>
    <s v="110311000202"/>
    <s v="2021/1"/>
    <n v="13"/>
    <s v="邓长春"/>
    <n v="2.5"/>
    <n v="32.5"/>
  </r>
  <r>
    <s v="钣铆"/>
    <s v="J10C"/>
    <x v="101"/>
    <s v="06-17-40"/>
    <s v="6P008"/>
    <d v="2020-12-31T00:00:00"/>
    <n v="10"/>
    <s v="110311000202"/>
    <s v="2021/1"/>
    <n v="10"/>
    <s v="李勇"/>
    <n v="3"/>
    <n v="30"/>
  </r>
  <r>
    <s v="钣铆"/>
    <s v="CB"/>
    <x v="102"/>
    <s v="05-107-113"/>
    <s v="5P002"/>
    <d v="2020-12-30T00:00:00"/>
    <n v="7"/>
    <s v="110403000201"/>
    <s v="2021/1"/>
    <n v="7"/>
    <s v="樊晓龙"/>
    <n v="3"/>
    <n v="21"/>
  </r>
  <r>
    <s v="钣铆"/>
    <s v="CB"/>
    <x v="103"/>
    <s v="05-107-113"/>
    <s v="5P002"/>
    <d v="2020-12-30T00:00:00"/>
    <n v="7"/>
    <s v="110403000201"/>
    <s v="2021/1"/>
    <n v="7"/>
    <s v="刘德运"/>
    <n v="5"/>
    <n v="35"/>
  </r>
  <r>
    <s v="钣铆"/>
    <s v="CB"/>
    <x v="103"/>
    <s v="04-99-106"/>
    <s v="5P004"/>
    <d v="2020-12-30T00:00:00"/>
    <n v="8"/>
    <s v="110403000201"/>
    <s v="2021/1"/>
    <n v="8"/>
    <s v="冯斌"/>
    <n v="5"/>
    <n v="40"/>
  </r>
  <r>
    <s v="钣铆"/>
    <s v="CB"/>
    <x v="104"/>
    <s v="05-102-109"/>
    <s v="5P002"/>
    <d v="2020-12-31T00:00:00"/>
    <n v="8"/>
    <s v="110403000201"/>
    <s v="2021/1"/>
    <n v="8"/>
    <s v="李勇"/>
    <n v="3"/>
    <n v="24"/>
  </r>
  <r>
    <s v="钣铆"/>
    <s v="CB"/>
    <x v="104"/>
    <s v="05-110-116"/>
    <s v="5P003"/>
    <d v="2020-12-31T00:00:00"/>
    <n v="7"/>
    <s v="110403000201"/>
    <s v="2021/1"/>
    <n v="7"/>
    <s v="张翔（小）"/>
    <n v="3"/>
    <n v="21"/>
  </r>
  <r>
    <s v="钣铆"/>
    <s v="CB"/>
    <x v="104"/>
    <s v="05-117-122"/>
    <s v="5P004"/>
    <d v="2020-12-31T00:00:00"/>
    <n v="6"/>
    <s v="110403000201"/>
    <s v="2021/1"/>
    <n v="6"/>
    <s v="周虎"/>
    <n v="3"/>
    <n v="18"/>
  </r>
  <r>
    <s v="钣铆"/>
    <s v="CB"/>
    <x v="105"/>
    <s v="04-100-101"/>
    <s v="5P001"/>
    <d v="2020-12-31T00:00:00"/>
    <n v="2"/>
    <s v="110403000201"/>
    <s v="2021/1"/>
    <n v="2"/>
    <s v="曾佳其"/>
    <n v="8"/>
    <n v="48"/>
  </r>
  <r>
    <s v="钣铆"/>
    <s v="CB"/>
    <x v="106"/>
    <s v="05-114-120"/>
    <s v="5P003"/>
    <d v="2020-12-31T00:00:00"/>
    <n v="7"/>
    <s v="110403000201"/>
    <s v="2021/1"/>
    <n v="7"/>
    <s v="樊晓龙"/>
    <n v="4"/>
    <n v="28"/>
  </r>
  <r>
    <s v="钣铆"/>
    <s v="CB"/>
    <x v="106"/>
    <s v="04-99-106"/>
    <s v="5P001"/>
    <d v="2020-12-31T00:00:00"/>
    <n v="8"/>
    <s v="110403000201"/>
    <s v="2021/1"/>
    <n v="7"/>
    <s v="黄新生"/>
    <n v="4"/>
    <n v="28"/>
  </r>
  <r>
    <s v="钣铆"/>
    <s v="CB"/>
    <x v="106"/>
    <s v="05-107-113"/>
    <s v="5P002"/>
    <d v="2020-12-31T00:00:00"/>
    <n v="7"/>
    <s v="110403000201"/>
    <s v="2021/1"/>
    <n v="7"/>
    <s v="杨建"/>
    <n v="4"/>
    <n v="28"/>
  </r>
  <r>
    <s v="钣铆"/>
    <s v="CB"/>
    <x v="107"/>
    <s v="04-99-106"/>
    <s v="5P001"/>
    <d v="2020-12-30T00:00:00"/>
    <n v="8"/>
    <s v="110403000201"/>
    <s v="2021/1"/>
    <n v="8"/>
    <s v="杨海成"/>
    <n v="3"/>
    <n v="24"/>
  </r>
  <r>
    <s v="钣铆"/>
    <s v="CB"/>
    <x v="102"/>
    <s v="05-114-120"/>
    <s v="5P003"/>
    <d v="2020-12-30T00:00:00"/>
    <n v="7"/>
    <s v="110403000201"/>
    <s v="2021/1"/>
    <n v="7"/>
    <s v="刘德运"/>
    <n v="3"/>
    <n v="21"/>
  </r>
  <r>
    <s v="钣铆"/>
    <s v="CB"/>
    <x v="107"/>
    <s v="05-107-113"/>
    <s v="5P002"/>
    <d v="2020-12-30T00:00:00"/>
    <n v="7"/>
    <s v="110403000201"/>
    <s v="2021/1"/>
    <n v="7"/>
    <s v="张翔（大）"/>
    <n v="3"/>
    <n v="21"/>
  </r>
  <r>
    <s v="钣铆"/>
    <s v="CB"/>
    <x v="107"/>
    <s v="05-114-120"/>
    <s v="5P003"/>
    <d v="2020-12-30T00:00:00"/>
    <n v="7"/>
    <s v="110403000201"/>
    <s v="2021/1"/>
    <n v="7"/>
    <s v="周靓"/>
    <n v="3"/>
    <n v="21"/>
  </r>
  <r>
    <s v="钣铆"/>
    <s v="CB"/>
    <x v="102"/>
    <s v="04-99-106"/>
    <s v="5P001"/>
    <d v="2020-12-30T00:00:00"/>
    <n v="8"/>
    <s v="110403000201"/>
    <s v="2021/1"/>
    <n v="8"/>
    <s v="邓长春"/>
    <n v="3"/>
    <n v="24"/>
  </r>
  <r>
    <s v="钣铆"/>
    <s v="J10C"/>
    <x v="108"/>
    <s v="07-7-9"/>
    <s v="7P002"/>
    <d v="2020-12-30T00:00:00"/>
    <n v="3"/>
    <s v="110311000201"/>
    <s v="2021/1"/>
    <n v="3"/>
    <s v="张华"/>
    <n v="12"/>
    <n v="108"/>
  </r>
  <r>
    <s v="钣铆"/>
    <s v="J10C"/>
    <x v="109"/>
    <s v="07-15-20"/>
    <s v="7P002"/>
    <d v="2020-12-30T00:00:00"/>
    <n v="6"/>
    <s v="110311000201"/>
    <s v="2021/1"/>
    <n v="6"/>
    <s v="杨磊"/>
    <n v="3"/>
    <n v="18"/>
  </r>
  <r>
    <s v="钣铆"/>
    <s v="J10C"/>
    <x v="110"/>
    <s v="07-6-18"/>
    <s v="7P001"/>
    <d v="2020-12-30T00:00:00"/>
    <n v="13"/>
    <s v="110311000201"/>
    <s v="2021/1"/>
    <n v="13"/>
    <s v="张华"/>
    <n v="4"/>
    <n v="52"/>
  </r>
  <r>
    <s v="钣铆"/>
    <s v="J10C"/>
    <x v="111"/>
    <s v="06-17-40"/>
    <s v="6P008"/>
    <d v="2020-12-28T00:00:00"/>
    <n v="11"/>
    <s v="110311000202"/>
    <s v="2021/1"/>
    <n v="11"/>
    <s v="刘强"/>
    <n v="11"/>
    <n v="121"/>
  </r>
  <r>
    <s v="钣铆"/>
    <s v="CB"/>
    <x v="112"/>
    <s v="04-99-106"/>
    <s v="5P001"/>
    <d v="2020-12-31T00:00:00"/>
    <n v="8"/>
    <s v="110403000201"/>
    <s v="2021/1"/>
    <n v="8"/>
    <s v="陈开兵"/>
    <n v="4"/>
    <n v="32"/>
  </r>
  <r>
    <s v="钣铆"/>
    <s v="CB"/>
    <x v="112"/>
    <s v="05-107-113"/>
    <s v="5P002"/>
    <d v="2020-12-31T00:00:00"/>
    <n v="7"/>
    <s v="110403000201"/>
    <s v="2021/1"/>
    <n v="7"/>
    <s v="邓学永"/>
    <n v="4"/>
    <n v="28"/>
  </r>
  <r>
    <s v="钣铆"/>
    <s v="CB"/>
    <x v="112"/>
    <s v="05-114-120"/>
    <s v="5P003"/>
    <d v="2020-12-31T00:00:00"/>
    <n v="7"/>
    <s v="110403000201"/>
    <s v="2021/1"/>
    <n v="7"/>
    <s v="周靓"/>
    <n v="4"/>
    <n v="28"/>
  </r>
  <r>
    <s v="钣铆"/>
    <s v="CB"/>
    <x v="113"/>
    <s v="05-104-120"/>
    <s v="5P002"/>
    <d v="2020-12-31T00:00:00"/>
    <n v="7"/>
    <s v="110403000201"/>
    <s v="2021/1"/>
    <n v="7"/>
    <s v="梁文科"/>
    <n v="5"/>
    <n v="35"/>
  </r>
  <r>
    <s v="钣铆"/>
    <s v="CB"/>
    <x v="113"/>
    <s v="04-97-103"/>
    <s v="5P001"/>
    <d v="2020-12-31T00:00:00"/>
    <n v="7"/>
    <s v="110403000201"/>
    <s v="2021/1"/>
    <n v="7"/>
    <s v="杨磊"/>
    <n v="5"/>
    <n v="35"/>
  </r>
  <r>
    <s v="钣铆"/>
    <s v="CB"/>
    <x v="113"/>
    <s v="04-89-96"/>
    <s v="4P001"/>
    <d v="2020-12-31T00:00:00"/>
    <n v="8"/>
    <s v="110403000201"/>
    <s v="2021/1"/>
    <n v="8"/>
    <s v="张翔（小）"/>
    <n v="5"/>
    <n v="40"/>
  </r>
  <r>
    <s v="钣铆"/>
    <s v="CB"/>
    <x v="86"/>
    <s v="04-83-86"/>
    <s v="4P002"/>
    <d v="2020-12-31T00:00:00"/>
    <n v="4"/>
    <s v="110403000201"/>
    <s v="2021/1"/>
    <n v="4"/>
    <s v="高龙"/>
    <n v="3"/>
    <n v="12"/>
  </r>
  <r>
    <s v="钣铆"/>
    <s v="FC1"/>
    <x v="114"/>
    <s v="01-6-17"/>
    <s v="1P012"/>
    <d v="2020-12-31T00:00:00"/>
    <n v="1"/>
    <s v="110204030202"/>
    <s v="2021/1"/>
    <n v="1"/>
    <s v="成伟"/>
    <n v="20"/>
    <n v="60"/>
  </r>
  <r>
    <s v="钣铆"/>
    <s v="J10S"/>
    <x v="115"/>
    <s v="04-15-22"/>
    <s v="4P004"/>
    <d v="2020-12-31T00:00:00"/>
    <n v="8"/>
    <s v="110304000201"/>
    <s v="2021/1"/>
    <n v="8"/>
    <s v="张华"/>
    <n v="10"/>
    <n v="80"/>
  </r>
  <r>
    <s v="钣铆"/>
    <s v="J10C"/>
    <x v="116"/>
    <s v="06-17-40"/>
    <s v="6P007"/>
    <d v="2020-12-31T00:00:00"/>
    <n v="6"/>
    <s v="110311000202"/>
    <s v="2021/1"/>
    <n v="6"/>
    <s v="曾佳其"/>
    <n v="10"/>
    <n v="60"/>
  </r>
  <r>
    <s v="钣铆"/>
    <s v="J10S"/>
    <x v="117"/>
    <s v="04-15-22"/>
    <s v="4P006"/>
    <d v="2020-12-31T00:00:00"/>
    <n v="8"/>
    <s v="110304000201"/>
    <s v="2021/1"/>
    <n v="8"/>
    <s v="邓长春"/>
    <n v="3"/>
    <n v="24"/>
  </r>
  <r>
    <s v="钣铆"/>
    <s v="CB"/>
    <x v="118"/>
    <s v="05-106-112"/>
    <s v="5P004"/>
    <d v="2020-12-24T00:00:00"/>
    <n v="7"/>
    <s v="110403000201"/>
    <s v="2021/1"/>
    <n v="6"/>
    <s v="杨建"/>
    <n v="6"/>
    <n v="36"/>
  </r>
  <r>
    <s v="钣铆"/>
    <s v="CB"/>
    <x v="119"/>
    <s v="05-114-120"/>
    <s v="5P003"/>
    <d v="2020-12-28T00:00:00"/>
    <n v="7"/>
    <s v="110403000201"/>
    <s v="2021/1"/>
    <n v="7"/>
    <s v="李勇"/>
    <n v="3"/>
    <n v="21"/>
  </r>
  <r>
    <s v="钣铆"/>
    <s v="CB"/>
    <x v="120"/>
    <s v="05-101-120"/>
    <s v="5P002"/>
    <d v="2020-12-28T00:00:00"/>
    <n v="8"/>
    <s v="110403000201"/>
    <s v="2021/1"/>
    <n v="8"/>
    <s v="杨磊"/>
    <n v="3"/>
    <n v="24"/>
  </r>
  <r>
    <s v="钣铆"/>
    <s v="CB"/>
    <x v="120"/>
    <s v="05-109-118"/>
    <s v="5P003"/>
    <d v="2020-12-28T00:00:00"/>
    <n v="10"/>
    <s v="110403000201"/>
    <s v="2021/1"/>
    <n v="10"/>
    <s v="曾礼杰"/>
    <n v="3"/>
    <n v="30"/>
  </r>
  <r>
    <s v="钣铆"/>
    <s v="CB"/>
    <x v="38"/>
    <s v="04-99-105"/>
    <s v="5P001"/>
    <d v="2020-12-28T00:00:00"/>
    <n v="7"/>
    <s v="110403000201"/>
    <s v="2021/1"/>
    <n v="7"/>
    <s v="张翔（小）"/>
    <n v="3"/>
    <n v="21"/>
  </r>
  <r>
    <s v="钣铆"/>
    <s v="CB"/>
    <x v="121"/>
    <s v="05-107-110"/>
    <s v="5P005"/>
    <d v="2020-12-28T00:00:00"/>
    <n v="4"/>
    <s v="110403000201"/>
    <s v="2021/1"/>
    <n v="4"/>
    <s v="张翔（小）"/>
    <n v="4"/>
    <n v="16"/>
  </r>
  <r>
    <s v="钣铆"/>
    <s v="CB"/>
    <x v="122"/>
    <s v="04-99-108"/>
    <s v="5P001"/>
    <d v="2020-12-28T00:00:00"/>
    <n v="10"/>
    <s v="110403000201"/>
    <s v="2021/1"/>
    <n v="10"/>
    <s v="李茂"/>
    <n v="3"/>
    <n v="30"/>
  </r>
  <r>
    <s v="钣铆"/>
    <s v="CB"/>
    <x v="123"/>
    <s v="05-101-106"/>
    <s v="5P001"/>
    <d v="2020-12-28T00:00:00"/>
    <n v="6"/>
    <s v="110403000201"/>
    <s v="2021/1"/>
    <n v="6"/>
    <s v="高龙"/>
    <n v="3"/>
    <n v="18"/>
  </r>
  <r>
    <s v="钣铆"/>
    <s v="CB"/>
    <x v="123"/>
    <s v="05-107-116"/>
    <s v="5P002"/>
    <d v="2020-12-28T00:00:00"/>
    <n v="10"/>
    <s v="110403000201"/>
    <s v="2021/1"/>
    <n v="10"/>
    <s v="刘德运"/>
    <n v="3"/>
    <n v="30"/>
  </r>
  <r>
    <s v="钣铆"/>
    <s v="CB"/>
    <x v="123"/>
    <s v="05-117-126"/>
    <s v="5P003"/>
    <d v="2020-12-28T00:00:00"/>
    <n v="10"/>
    <s v="110403000201"/>
    <s v="2021/1"/>
    <n v="10"/>
    <s v="周虎"/>
    <n v="3"/>
    <n v="30"/>
  </r>
  <r>
    <s v="钣铆"/>
    <s v="CB"/>
    <x v="124"/>
    <s v="06-128-135"/>
    <s v="6P002"/>
    <d v="2020-12-28T00:00:00"/>
    <n v="8"/>
    <s v="110403000201"/>
    <s v="2021/1"/>
    <n v="8"/>
    <s v="邓学永"/>
    <n v="4"/>
    <n v="32"/>
  </r>
  <r>
    <s v="钣铆"/>
    <s v="CB"/>
    <x v="125"/>
    <s v="04-99-109"/>
    <s v="5P001"/>
    <d v="2020-12-28T00:00:00"/>
    <n v="11"/>
    <s v="110403000201"/>
    <s v="2021/1"/>
    <n v="11"/>
    <s v="梁文科"/>
    <n v="4"/>
    <n v="44"/>
  </r>
  <r>
    <s v="钣铆"/>
    <s v="CB"/>
    <x v="125"/>
    <s v="05-110-120"/>
    <s v="5P002"/>
    <d v="2020-12-28T00:00:00"/>
    <n v="11"/>
    <s v="110403000201"/>
    <s v="2021/1"/>
    <n v="11"/>
    <s v="张翔（大）"/>
    <n v="4"/>
    <n v="44"/>
  </r>
  <r>
    <s v="钣铆"/>
    <s v="J10C"/>
    <x v="126"/>
    <s v="07-1-5"/>
    <s v="7P001"/>
    <d v="2020-12-29T00:00:00"/>
    <n v="5"/>
    <s v="110311090201"/>
    <s v="2021/1"/>
    <n v="5"/>
    <s v="李建宏"/>
    <n v="16"/>
    <n v="80"/>
  </r>
  <r>
    <s v="钣铆"/>
    <s v="J10S"/>
    <x v="127"/>
    <s v="04-15-22"/>
    <s v="C4P011"/>
    <d v="2020-12-29T00:00:00"/>
    <n v="8"/>
    <s v="110304000201"/>
    <s v="2021/1"/>
    <n v="8"/>
    <s v="廖黔川"/>
    <n v="8"/>
    <n v="64"/>
  </r>
  <r>
    <s v="钣铆"/>
    <s v="J10C"/>
    <x v="128"/>
    <s v="07-1-4"/>
    <s v="7P001"/>
    <d v="2020-12-29T00:00:00"/>
    <n v="4"/>
    <s v="110311090201"/>
    <s v="2021/1"/>
    <n v="4"/>
    <s v="廖黔川"/>
    <n v="3"/>
    <n v="12"/>
  </r>
  <r>
    <s v="钣铆"/>
    <s v="J10S"/>
    <x v="129"/>
    <s v="04-15-18"/>
    <s v="4P005"/>
    <d v="2020-12-30T00:00:00"/>
    <n v="4"/>
    <s v="110304070201"/>
    <s v="2021/1"/>
    <n v="4"/>
    <s v="张翔（小）"/>
    <n v="3"/>
    <n v="12"/>
  </r>
  <r>
    <s v="钣铆"/>
    <s v="FC1"/>
    <x v="130"/>
    <s v="03-3023-3025"/>
    <s v="3P005"/>
    <d v="2020-12-28T00:00:00"/>
    <n v="2"/>
    <s v="110204000201"/>
    <s v="2021/1"/>
    <n v="2"/>
    <s v="陈开兵"/>
    <n v="7"/>
    <n v="42"/>
  </r>
  <r>
    <s v="钣铆"/>
    <s v="FC1"/>
    <x v="131"/>
    <s v="03-3027-3027"/>
    <s v="3P005"/>
    <d v="2020-12-28T00:00:00"/>
    <n v="1"/>
    <s v="110204000201"/>
    <s v="2021/1"/>
    <n v="1"/>
    <s v="陈开兵"/>
    <n v="2"/>
    <n v="6"/>
  </r>
  <r>
    <s v="钣铆"/>
    <s v="FC1"/>
    <x v="132"/>
    <s v="03-3027-3027"/>
    <s v="3P005"/>
    <d v="2020-12-28T00:00:00"/>
    <n v="1"/>
    <s v="110204000201"/>
    <s v="2021/1"/>
    <n v="1"/>
    <s v="龙涛"/>
    <n v="3"/>
    <n v="9"/>
  </r>
  <r>
    <s v="钣铆"/>
    <s v="FC1"/>
    <x v="133"/>
    <s v="03-3026-3026"/>
    <s v="3P006"/>
    <d v="2020-12-28T00:00:00"/>
    <n v="1"/>
    <s v="110204000201"/>
    <s v="2021/1"/>
    <n v="1"/>
    <s v="陈开兵"/>
    <n v="13"/>
    <n v="39"/>
  </r>
  <r>
    <s v="钣铆"/>
    <s v="CB"/>
    <x v="134"/>
    <s v="04-97-98"/>
    <s v="4P004"/>
    <d v="2020-12-29T00:00:00"/>
    <n v="2"/>
    <s v="110403000201"/>
    <s v="2021/1"/>
    <n v="2"/>
    <s v="曾佳其"/>
    <n v="7"/>
    <n v="42"/>
  </r>
  <r>
    <s v="钣铆"/>
    <s v="CB"/>
    <x v="135"/>
    <s v="04-99-99"/>
    <s v="4P009"/>
    <d v="2020-12-29T00:00:00"/>
    <n v="1"/>
    <s v="110403000201"/>
    <s v="2021/1"/>
    <n v="1"/>
    <s v="邓长春"/>
    <n v="7"/>
    <n v="21"/>
  </r>
  <r>
    <s v="钣铆"/>
    <s v="CB"/>
    <x v="136"/>
    <s v="04-99-106"/>
    <s v="5P001"/>
    <d v="2020-12-29T00:00:00"/>
    <n v="8"/>
    <s v="110403000201"/>
    <s v="2021/1"/>
    <n v="8"/>
    <s v="张翔（小）"/>
    <n v="3"/>
    <n v="24"/>
  </r>
  <r>
    <s v="钣铆"/>
    <s v="CB"/>
    <x v="136"/>
    <s v="05-107-113"/>
    <s v="5P002"/>
    <d v="2020-12-29T00:00:00"/>
    <n v="7"/>
    <s v="110403000201"/>
    <s v="2021/1"/>
    <n v="7"/>
    <s v="陈开兵"/>
    <n v="3"/>
    <n v="21"/>
  </r>
  <r>
    <s v="钣铆"/>
    <s v="CB"/>
    <x v="136"/>
    <s v="05-114-120"/>
    <s v="5P003"/>
    <d v="2020-12-29T00:00:00"/>
    <n v="7"/>
    <s v="110403000201"/>
    <s v="2021/1"/>
    <n v="6"/>
    <s v="黄新生"/>
    <n v="3"/>
    <n v="18"/>
  </r>
  <r>
    <s v="钣铆"/>
    <s v="CB"/>
    <x v="137"/>
    <s v="05-110-116"/>
    <s v="5P002"/>
    <d v="2020-12-28T00:00:00"/>
    <n v="7"/>
    <s v="110403000201"/>
    <s v="2021/1"/>
    <n v="7"/>
    <s v="周靓"/>
    <n v="3"/>
    <n v="21"/>
  </r>
  <r>
    <s v="钣铆"/>
    <s v="CB"/>
    <x v="138"/>
    <s v="05-113-119"/>
    <s v="5P003"/>
    <d v="2020-12-28T00:00:00"/>
    <n v="7"/>
    <s v="110403000201"/>
    <s v="2021/1"/>
    <n v="7"/>
    <s v="冯斌"/>
    <n v="4"/>
    <n v="28"/>
  </r>
  <r>
    <s v="钣铆"/>
    <s v="CB"/>
    <x v="118"/>
    <s v="05-113-120"/>
    <s v="5P005"/>
    <d v="2020-12-24T00:00:00"/>
    <n v="8"/>
    <s v="110403000201"/>
    <s v="2021/1"/>
    <n v="8"/>
    <s v="周靓"/>
    <n v="6"/>
    <n v="48"/>
  </r>
  <r>
    <s v="钣铆"/>
    <s v="CB"/>
    <x v="119"/>
    <s v="05-107-113"/>
    <s v="5P002"/>
    <d v="2020-12-28T00:00:00"/>
    <n v="7"/>
    <s v="110403000201"/>
    <s v="2021/1"/>
    <n v="7"/>
    <s v="张翔（大）"/>
    <n v="3"/>
    <n v="21"/>
  </r>
  <r>
    <s v="钣铆"/>
    <s v="CB"/>
    <x v="139"/>
    <s v="05-105-116"/>
    <s v="5P002"/>
    <d v="2020-12-28T00:00:00"/>
    <n v="12"/>
    <s v="110403000201"/>
    <s v="2021/1"/>
    <n v="12"/>
    <s v="曾佳其"/>
    <n v="8"/>
    <n v="96"/>
  </r>
  <r>
    <s v="钣铆"/>
    <s v="CB"/>
    <x v="139"/>
    <s v="05-120-121"/>
    <s v="6P001"/>
    <d v="2020-12-28T00:00:00"/>
    <n v="2"/>
    <s v="110403000201"/>
    <s v="2021/1"/>
    <n v="2"/>
    <s v="李红兵"/>
    <n v="8"/>
    <n v="48"/>
  </r>
  <r>
    <s v="钣铆"/>
    <s v="CB"/>
    <x v="140"/>
    <s v="05-105-105"/>
    <s v="5P002"/>
    <d v="2020-12-28T00:00:00"/>
    <n v="1"/>
    <s v="110403000201"/>
    <s v="2021/1"/>
    <n v="1"/>
    <s v="邓长春"/>
    <n v="12"/>
    <n v="36"/>
  </r>
  <r>
    <s v="钣铆"/>
    <s v="CB"/>
    <x v="88"/>
    <s v="05-105-105"/>
    <s v="5P003"/>
    <d v="2020-12-28T00:00:00"/>
    <n v="1"/>
    <s v="110403000201"/>
    <s v="2021/1"/>
    <n v="1"/>
    <s v="廖黔川"/>
    <n v="8"/>
    <n v="24"/>
  </r>
  <r>
    <s v="钣铆"/>
    <s v="CB"/>
    <x v="141"/>
    <s v="04-99-100"/>
    <s v="4P002"/>
    <d v="2020-12-28T00:00:00"/>
    <n v="2"/>
    <s v="110403000201"/>
    <s v="2021/1"/>
    <n v="2"/>
    <s v="曾佳其"/>
    <n v="8"/>
    <n v="48"/>
  </r>
  <r>
    <s v="钣铆"/>
    <s v="CB"/>
    <x v="142"/>
    <s v="04-99-101"/>
    <s v="4P003"/>
    <d v="2020-12-28T00:00:00"/>
    <n v="3"/>
    <s v="110403000201"/>
    <s v="2021/1"/>
    <n v="3"/>
    <s v="成伟"/>
    <n v="6"/>
    <n v="54"/>
  </r>
  <r>
    <s v="钣铆"/>
    <s v="J10S"/>
    <x v="90"/>
    <s v="04-21-22"/>
    <s v="C4P010"/>
    <d v="2020-12-28T00:00:00"/>
    <n v="2"/>
    <s v="110304000201"/>
    <s v="2021/1"/>
    <n v="2"/>
    <s v="邓长春"/>
    <n v="4.5"/>
    <n v="27"/>
  </r>
  <r>
    <s v="钣铆"/>
    <s v="J10C"/>
    <x v="143"/>
    <s v="07-1-2"/>
    <s v="7P001"/>
    <d v="2020-12-26T00:00:00"/>
    <n v="2"/>
    <s v="110311090201"/>
    <s v="2021/1"/>
    <n v="2"/>
    <s v="张华"/>
    <n v="15"/>
    <n v="90"/>
  </r>
  <r>
    <s v="钣铆"/>
    <s v="J10S"/>
    <x v="144"/>
    <s v="04-15-22"/>
    <s v="4P003"/>
    <d v="2020-12-28T00:00:00"/>
    <n v="8"/>
    <s v="110304000201"/>
    <s v="2021/1"/>
    <n v="8"/>
    <s v="张翔（小）"/>
    <n v="2"/>
    <n v="16"/>
  </r>
  <r>
    <s v="钣铆"/>
    <s v="J10C"/>
    <x v="145"/>
    <s v="07-3-4"/>
    <s v="7P002"/>
    <d v="2020-12-28T00:00:00"/>
    <n v="2"/>
    <s v="110311090201"/>
    <s v="2021/1"/>
    <n v="2"/>
    <s v="陈开兵"/>
    <n v="3"/>
    <n v="18"/>
  </r>
  <r>
    <s v="钣铆"/>
    <s v="J10S"/>
    <x v="146"/>
    <s v="04-15-18"/>
    <s v="4P006"/>
    <d v="2020-12-28T00:00:00"/>
    <n v="4"/>
    <s v="110304070201"/>
    <s v="2021/1"/>
    <n v="4"/>
    <s v="成伟"/>
    <n v="6"/>
    <n v="24"/>
  </r>
  <r>
    <s v="钣铆"/>
    <s v="J10C"/>
    <x v="116"/>
    <s v="06-36-40"/>
    <s v="6P006"/>
    <d v="2020-12-28T00:00:00"/>
    <n v="5"/>
    <s v="110311000201"/>
    <s v="2021/1"/>
    <n v="5"/>
    <s v="曾佳其"/>
    <n v="10"/>
    <n v="50"/>
  </r>
  <r>
    <s v="钣铆"/>
    <s v="J10C"/>
    <x v="143"/>
    <s v="07-3-8"/>
    <s v="7P002"/>
    <d v="2020-12-28T00:00:00"/>
    <n v="6"/>
    <s v="110311090201"/>
    <s v="2021/1"/>
    <n v="6"/>
    <s v="张华"/>
    <n v="15"/>
    <n v="90"/>
  </r>
  <r>
    <s v="钣铆"/>
    <s v="CB"/>
    <x v="119"/>
    <s v="04-99-106"/>
    <s v="5P001"/>
    <d v="2020-12-28T00:00:00"/>
    <n v="8"/>
    <s v="110403000201"/>
    <s v="2021/1"/>
    <n v="8"/>
    <s v="樊晓龙"/>
    <n v="3"/>
    <n v="24"/>
  </r>
  <r>
    <s v="钣铆"/>
    <s v="CB"/>
    <x v="147"/>
    <s v="05-112-118"/>
    <s v="5P002"/>
    <d v="2020-12-28T00:00:00"/>
    <n v="7"/>
    <s v="110403000201"/>
    <s v="2021/1"/>
    <n v="7"/>
    <s v="杨峰"/>
    <n v="3"/>
    <n v="21"/>
  </r>
  <r>
    <s v="钣铆"/>
    <s v="CB"/>
    <x v="148"/>
    <s v="05-101-120"/>
    <s v="5P003"/>
    <d v="2020-12-28T00:00:00"/>
    <n v="3"/>
    <s v="402020001902"/>
    <s v="2021/1"/>
    <n v="3"/>
    <s v="高龙"/>
    <n v="4"/>
    <n v="36"/>
  </r>
  <r>
    <s v="钣铆"/>
    <s v="FC1"/>
    <x v="149"/>
    <s v="03-3018-3026"/>
    <s v="3P004"/>
    <d v="2020-12-23T00:00:00"/>
    <n v="9"/>
    <s v="110204000201"/>
    <s v="2021/1"/>
    <n v="9"/>
    <s v="刘德运"/>
    <n v="3"/>
    <n v="27"/>
  </r>
  <r>
    <s v="钣铆"/>
    <s v="J10C"/>
    <x v="44"/>
    <s v="07-1-8"/>
    <s v="7P001"/>
    <d v="2020-12-23T00:00:00"/>
    <n v="8"/>
    <s v="110311090201"/>
    <s v="2021/1"/>
    <n v="8"/>
    <s v="周靓"/>
    <n v="2"/>
    <n v="16"/>
  </r>
  <r>
    <s v="钣铆"/>
    <s v="J10C"/>
    <x v="150"/>
    <s v="07-1-8"/>
    <s v="7P001"/>
    <d v="2020-12-23T00:00:00"/>
    <n v="8"/>
    <s v="110311090201"/>
    <s v="2021/1"/>
    <n v="8"/>
    <s v="邓长春"/>
    <n v="3.5"/>
    <n v="28"/>
  </r>
  <r>
    <s v="钣铆"/>
    <s v="J10C"/>
    <x v="151"/>
    <s v="07-1-8"/>
    <s v="7P001"/>
    <d v="2020-12-23T00:00:00"/>
    <n v="8"/>
    <s v="110311090201"/>
    <s v="2021/1"/>
    <n v="8"/>
    <s v="樊晓龙"/>
    <n v="4"/>
    <n v="32"/>
  </r>
  <r>
    <s v="钣铆"/>
    <s v="J10C"/>
    <x v="152"/>
    <s v="06-17-40"/>
    <s v="6P004"/>
    <d v="2020-12-23T00:00:00"/>
    <n v="15"/>
    <s v="110311000202"/>
    <s v="2021/1"/>
    <n v="15"/>
    <s v="李红兵"/>
    <n v="4"/>
    <n v="60"/>
  </r>
  <r>
    <s v="钣铆"/>
    <s v="J10S"/>
    <x v="153"/>
    <s v="04-15-22"/>
    <s v="C4P007"/>
    <d v="2020-12-22T00:00:00"/>
    <n v="8"/>
    <s v="110304000201"/>
    <s v="2021/1"/>
    <n v="8"/>
    <s v="高龙"/>
    <n v="3"/>
    <n v="24"/>
  </r>
  <r>
    <s v="钣铆"/>
    <s v="J10C"/>
    <x v="154"/>
    <s v="07-1-17"/>
    <s v="C7P002"/>
    <d v="2020-12-24T00:00:00"/>
    <n v="9"/>
    <s v="110311000201"/>
    <s v="2021/1"/>
    <n v="9"/>
    <s v="张华"/>
    <n v="2"/>
    <n v="18"/>
  </r>
  <r>
    <s v="钣铆"/>
    <s v="J10C"/>
    <x v="155"/>
    <s v="07-1-5"/>
    <s v="C7P001"/>
    <d v="2020-12-14T00:00:00"/>
    <n v="5"/>
    <s v="110311090201"/>
    <s v="2021/1"/>
    <n v="5"/>
    <s v="冯斌"/>
    <n v="4"/>
    <n v="20"/>
  </r>
  <r>
    <s v="钣铆"/>
    <s v="J10C"/>
    <x v="156"/>
    <s v="07-1-20"/>
    <s v="C7P001"/>
    <d v="2020-12-24T00:00:00"/>
    <n v="10"/>
    <s v="110311000201"/>
    <s v="2021/1"/>
    <n v="10"/>
    <s v="冯斌"/>
    <n v="2.5"/>
    <n v="25"/>
  </r>
  <r>
    <s v="钣铆"/>
    <s v="J10C"/>
    <x v="157"/>
    <s v="07-1-20"/>
    <s v="C7P001"/>
    <d v="2020-12-24T00:00:00"/>
    <n v="10"/>
    <s v="110311000201"/>
    <s v="2021/1"/>
    <n v="10"/>
    <s v="周靓"/>
    <n v="4"/>
    <n v="40"/>
  </r>
  <r>
    <s v="钣铆"/>
    <s v="J10C"/>
    <x v="158"/>
    <s v="07-1-16"/>
    <s v="C7P001-1"/>
    <d v="2020-12-24T00:00:00"/>
    <n v="8"/>
    <s v="110311000201"/>
    <s v="2021/1"/>
    <n v="8"/>
    <s v="刘强"/>
    <n v="3"/>
    <n v="24"/>
  </r>
  <r>
    <s v="钣铆"/>
    <s v="J10C"/>
    <x v="156"/>
    <s v="07-1-20"/>
    <s v="C7P001-1"/>
    <d v="2020-12-24T00:00:00"/>
    <n v="10"/>
    <s v="110311000201"/>
    <s v="2021/1"/>
    <n v="10"/>
    <s v="张翔（小）"/>
    <n v="2.5"/>
    <n v="25"/>
  </r>
  <r>
    <s v="钣铆"/>
    <s v="J10C"/>
    <x v="157"/>
    <s v="07-1-20"/>
    <s v="C7P001-1"/>
    <d v="2020-12-24T00:00:00"/>
    <n v="10"/>
    <s v="110311000201"/>
    <s v="2021/1"/>
    <n v="10"/>
    <s v="高龙"/>
    <n v="4"/>
    <n v="40"/>
  </r>
  <r>
    <s v="钣铆"/>
    <s v="J10C"/>
    <x v="158"/>
    <s v="07-1-16"/>
    <s v="C7P001"/>
    <d v="2020-12-24T00:00:00"/>
    <n v="8"/>
    <s v="110311000201"/>
    <s v="2021/1"/>
    <n v="8"/>
    <s v="邓学永"/>
    <n v="3"/>
    <n v="24"/>
  </r>
  <r>
    <s v="钣铆"/>
    <s v="J10C"/>
    <x v="159"/>
    <s v="07-1-20"/>
    <s v="C7P001-1"/>
    <d v="2020-12-20T00:00:00"/>
    <n v="10"/>
    <s v="110311000201"/>
    <s v="2021/1"/>
    <n v="10"/>
    <s v="冯斌"/>
    <n v="2.2999999999999998"/>
    <n v="23"/>
  </r>
  <r>
    <s v="钣铆"/>
    <s v="CB"/>
    <x v="135"/>
    <s v="04-95-98"/>
    <s v="4P008"/>
    <d v="2020-12-28T00:00:00"/>
    <n v="4"/>
    <s v="110403000201"/>
    <s v="2021/1"/>
    <n v="4"/>
    <s v="刘强"/>
    <n v="7"/>
    <n v="28"/>
  </r>
  <r>
    <s v="钣铆"/>
    <s v="J10C"/>
    <x v="160"/>
    <s v="06-17-40"/>
    <s v="C6P003-1"/>
    <d v="2020-12-22T00:00:00"/>
    <n v="12"/>
    <s v="110311000201"/>
    <s v="2021/1"/>
    <n v="12"/>
    <s v="李勇"/>
    <n v="2.5"/>
    <n v="30"/>
  </r>
  <r>
    <s v="钣铆"/>
    <s v="J10C"/>
    <x v="161"/>
    <s v="06-17-40"/>
    <s v="6P009"/>
    <d v="2020-12-23T00:00:00"/>
    <n v="4"/>
    <s v="110311000202"/>
    <s v="2021/1"/>
    <n v="4"/>
    <s v="成伟"/>
    <n v="12"/>
    <n v="48"/>
  </r>
  <r>
    <s v="钣铆"/>
    <s v="J10C"/>
    <x v="162"/>
    <s v="07-1-20"/>
    <s v="C7P001-1"/>
    <d v="2020-12-23T00:00:00"/>
    <n v="10"/>
    <s v="110311000201"/>
    <s v="2021/1"/>
    <n v="10"/>
    <s v="周靓"/>
    <n v="2"/>
    <n v="20"/>
  </r>
  <r>
    <s v="钣铆"/>
    <s v="J10C"/>
    <x v="163"/>
    <s v="06-17-40"/>
    <s v="6P003"/>
    <d v="2020-12-23T00:00:00"/>
    <n v="12"/>
    <s v="110311000202"/>
    <s v="2021/1"/>
    <n v="12"/>
    <s v="李勇"/>
    <n v="5"/>
    <n v="60"/>
  </r>
  <r>
    <s v="钣铆"/>
    <s v="J10C"/>
    <x v="164"/>
    <s v="06-17-40"/>
    <s v="6P009"/>
    <d v="2020-12-23T00:00:00"/>
    <n v="9"/>
    <s v="110311000202"/>
    <s v="2021/1"/>
    <n v="9"/>
    <s v="李红兵"/>
    <n v="6"/>
    <n v="54"/>
  </r>
  <r>
    <s v="钣铆"/>
    <s v="J10C"/>
    <x v="165"/>
    <s v="07-1-3"/>
    <s v="7P001"/>
    <d v="2020-12-24T00:00:00"/>
    <n v="3"/>
    <s v="110311090201"/>
    <s v="2021/1"/>
    <n v="3"/>
    <s v="廖黔川"/>
    <n v="8"/>
    <n v="72"/>
  </r>
  <r>
    <s v="钣铆"/>
    <s v="J10S"/>
    <x v="166"/>
    <s v="04-15-15"/>
    <s v="4P009"/>
    <d v="2020-12-24T00:00:00"/>
    <n v="1"/>
    <s v="110304070201"/>
    <s v="2021/1"/>
    <n v="1"/>
    <s v="邓长春"/>
    <n v="4"/>
    <n v="12"/>
  </r>
  <r>
    <s v="钣铆"/>
    <s v="FC1"/>
    <x v="167"/>
    <s v="03-3025-3027"/>
    <s v="3P006"/>
    <d v="2020-12-25T00:00:00"/>
    <n v="3"/>
    <s v="110204000201"/>
    <s v="2021/1"/>
    <n v="3"/>
    <s v="张翔（大）"/>
    <n v="3"/>
    <n v="27"/>
  </r>
  <r>
    <s v="钣铆"/>
    <s v="FC1"/>
    <x v="168"/>
    <s v="03-3025-3027"/>
    <s v="3P005"/>
    <d v="2020-12-25T00:00:00"/>
    <n v="3"/>
    <s v="110204000201"/>
    <s v="2021/1"/>
    <n v="3"/>
    <s v="张翔（小）"/>
    <n v="3"/>
    <n v="27"/>
  </r>
  <r>
    <s v="钣铆"/>
    <s v="FC1"/>
    <x v="168"/>
    <s v="03-3021-3024"/>
    <s v="3P004"/>
    <d v="2020-12-25T00:00:00"/>
    <n v="4"/>
    <s v="110204000201"/>
    <s v="2021/1"/>
    <n v="4"/>
    <s v="杨磊"/>
    <n v="3"/>
    <n v="12"/>
  </r>
  <r>
    <s v="钣铆"/>
    <s v="FC1"/>
    <x v="149"/>
    <s v="03-3027-3027"/>
    <s v="3P005"/>
    <d v="2020-12-23T00:00:00"/>
    <n v="1"/>
    <s v="110204000201"/>
    <s v="2021/1"/>
    <n v="1"/>
    <s v="廖黔川"/>
    <n v="3"/>
    <n v="9"/>
  </r>
  <r>
    <s v="钣铆"/>
    <s v="FC1"/>
    <x v="169"/>
    <s v="03-3026-3026"/>
    <s v="3P005"/>
    <d v="2020-12-23T00:00:00"/>
    <n v="1"/>
    <s v="110204000201"/>
    <s v="2021/1"/>
    <n v="1"/>
    <s v="梁文科"/>
    <n v="5"/>
    <n v="15"/>
  </r>
  <r>
    <s v="钣铆"/>
    <s v="FC1"/>
    <x v="170"/>
    <s v="03-3027-3026"/>
    <s v="3P006"/>
    <d v="2020-12-23T00:00:00"/>
    <n v="3"/>
    <s v="110204000201"/>
    <s v="2021/1"/>
    <n v="3"/>
    <s v="杨磊"/>
    <n v="6"/>
    <n v="54"/>
  </r>
  <r>
    <s v="钣铆"/>
    <s v="FC1"/>
    <x v="171"/>
    <s v="03-3018-3025"/>
    <s v="3P004"/>
    <d v="2020-12-23T00:00:00"/>
    <n v="8"/>
    <s v="110204000201"/>
    <s v="2021/1"/>
    <n v="8"/>
    <s v="冯斌"/>
    <n v="2"/>
    <n v="16"/>
  </r>
  <r>
    <s v="钣铆"/>
    <s v="J10S"/>
    <x v="172"/>
    <s v="04-15-22"/>
    <s v="4P003"/>
    <d v="2020-12-23T00:00:00"/>
    <n v="8"/>
    <s v="110304000201"/>
    <s v="2021/1"/>
    <n v="8"/>
    <s v="周靓"/>
    <n v="3"/>
    <n v="24"/>
  </r>
  <r>
    <s v="钣铆"/>
    <s v="J10S"/>
    <x v="63"/>
    <s v="04-15-15"/>
    <s v="C4P005"/>
    <d v="2020-12-18T00:00:00"/>
    <n v="1"/>
    <s v="110304070201"/>
    <s v="2021/1"/>
    <n v="1"/>
    <s v="冯斌"/>
    <n v="2.1"/>
    <n v="6.3000000000000007"/>
  </r>
  <r>
    <s v="钣铆"/>
    <s v="J10S"/>
    <x v="173"/>
    <s v="04-15-22"/>
    <s v="C4P010"/>
    <d v="2020-12-18T00:00:00"/>
    <n v="8"/>
    <s v="110304000201"/>
    <s v="2021/1"/>
    <n v="8"/>
    <s v="李红兵"/>
    <n v="6"/>
    <n v="48"/>
  </r>
  <r>
    <s v="钣铆"/>
    <s v="CB"/>
    <x v="174"/>
    <s v="05-106-107"/>
    <s v="5P002"/>
    <d v="2020-12-18T00:00:00"/>
    <n v="2"/>
    <s v="110403000201"/>
    <s v="2021/1"/>
    <n v="2"/>
    <s v="杨峰"/>
    <n v="14"/>
    <n v="84"/>
  </r>
  <r>
    <s v="钣铆"/>
    <s v="CB"/>
    <x v="175"/>
    <s v="04-100-103"/>
    <s v="5P001"/>
    <d v="2020-12-16T00:00:00"/>
    <n v="4"/>
    <s v="110403000201"/>
    <s v="2021/1"/>
    <n v="4"/>
    <s v="张翔（大）"/>
    <n v="4"/>
    <n v="16"/>
  </r>
  <r>
    <s v="钣铆"/>
    <s v="FC1"/>
    <x v="176"/>
    <s v="03-3018-3027"/>
    <s v="3P004"/>
    <d v="2020-12-18T00:00:00"/>
    <n v="10"/>
    <s v="110204000201"/>
    <s v="2021/1"/>
    <n v="10"/>
    <s v="李建宏"/>
    <n v="9"/>
    <n v="90"/>
  </r>
  <r>
    <s v="钣铆"/>
    <s v="CB"/>
    <x v="140"/>
    <s v="05-101-104"/>
    <s v="5P001"/>
    <d v="2020-12-21T00:00:00"/>
    <n v="4"/>
    <s v="110403000201"/>
    <s v="2021/1"/>
    <n v="4"/>
    <s v="杨海成"/>
    <n v="12"/>
    <n v="48"/>
  </r>
  <r>
    <s v="钣铆"/>
    <s v="CB"/>
    <x v="177"/>
    <s v="05-104-109"/>
    <s v="5P002"/>
    <d v="2020-12-21T00:00:00"/>
    <n v="6"/>
    <s v="110403000201"/>
    <s v="2021/1"/>
    <n v="6"/>
    <s v="陈开兵"/>
    <n v="3"/>
    <n v="18"/>
  </r>
  <r>
    <s v="钣铆"/>
    <s v="CB"/>
    <x v="35"/>
    <s v="04-95-104"/>
    <s v="5P001"/>
    <d v="2020-12-21T00:00:00"/>
    <n v="10"/>
    <s v="110403000201"/>
    <s v="2021/1"/>
    <n v="10"/>
    <s v="曾佳其"/>
    <n v="6"/>
    <n v="60"/>
  </r>
  <r>
    <s v="钣铆"/>
    <s v="CB"/>
    <x v="35"/>
    <s v="05-105-115"/>
    <s v="5P002"/>
    <d v="2020-12-21T00:00:00"/>
    <n v="11"/>
    <s v="110403000201"/>
    <s v="2021/1"/>
    <n v="11"/>
    <s v="曾佳其"/>
    <n v="6"/>
    <n v="66"/>
  </r>
  <r>
    <s v="钣铆"/>
    <s v="J10C"/>
    <x v="178"/>
    <s v="07-1-9"/>
    <s v="C7P001"/>
    <d v="2020-12-28T00:00:00"/>
    <n v="9"/>
    <s v="110311000201"/>
    <s v="2021/1"/>
    <n v="9"/>
    <s v="邓长春"/>
    <n v="4"/>
    <n v="36"/>
  </r>
  <r>
    <s v="钣铆"/>
    <s v="J10C"/>
    <x v="178"/>
    <s v="07-10-18"/>
    <s v="C7P001-1"/>
    <d v="2020-12-28T00:00:00"/>
    <n v="9"/>
    <s v="110311000201"/>
    <s v="2021/1"/>
    <n v="9"/>
    <s v="梁文科"/>
    <n v="4"/>
    <n v="36"/>
  </r>
  <r>
    <s v="钣铆"/>
    <s v="J10C"/>
    <x v="55"/>
    <s v="06-17-17"/>
    <s v="C5P006"/>
    <d v="2020-12-28T00:00:00"/>
    <n v="2"/>
    <s v="110311000202"/>
    <s v="2021/1"/>
    <n v="2"/>
    <s v="冯斌"/>
    <n v="3"/>
    <n v="18"/>
  </r>
  <r>
    <s v="钣铆"/>
    <s v="CB"/>
    <x v="179"/>
    <s v="04-109-109"/>
    <s v="5P001-1"/>
    <d v="2020-11-03T00:00:00"/>
    <n v="1"/>
    <s v="110403000201"/>
    <s v="2021/1"/>
    <n v="1"/>
    <s v="邓学永"/>
    <n v="5"/>
    <n v="5"/>
  </r>
  <r>
    <s v="钣铆"/>
    <s v="CB"/>
    <x v="59"/>
    <s v="04-99-101"/>
    <s v="5P001-1"/>
    <d v="2020-10-13T00:00:00"/>
    <n v="3"/>
    <s v="110403000201"/>
    <s v="2021/1"/>
    <n v="3"/>
    <s v="杨磊"/>
    <n v="4"/>
    <n v="12"/>
  </r>
  <r>
    <s v="钣铆"/>
    <s v="CB"/>
    <x v="103"/>
    <s v="05-115-120"/>
    <s v="5P003"/>
    <d v="2020-12-30T00:00:00"/>
    <n v="7"/>
    <s v="110403000201"/>
    <s v="2021/1"/>
    <n v="7"/>
    <s v="张翔（大）"/>
    <n v="5"/>
    <n v="35"/>
  </r>
  <r>
    <s v="钣铆"/>
    <s v="J10C"/>
    <x v="180"/>
    <s v="07-1-17"/>
    <s v="C7P001"/>
    <d v="2020-12-22T00:00:00"/>
    <n v="7"/>
    <s v="110311000201"/>
    <s v="2021/1"/>
    <n v="7"/>
    <s v="周虎"/>
    <n v="3"/>
    <n v="21"/>
  </r>
  <r>
    <s v="钣铆"/>
    <s v="CB"/>
    <x v="13"/>
    <s v="04-99-108"/>
    <s v="5P001-1"/>
    <d v="2021-01-15T00:00:00"/>
    <n v="8"/>
    <s v="110403000201"/>
    <s v="2021/1"/>
    <n v="8"/>
    <s v="梁文科"/>
    <n v="3"/>
    <n v="24"/>
  </r>
  <r>
    <s v="钣铆"/>
    <s v="CB"/>
    <x v="181"/>
    <s v="05-101-120"/>
    <s v="5P002"/>
    <d v="2020-12-21T00:00:00"/>
    <n v="12"/>
    <s v="402050001902"/>
    <s v="2021/1"/>
    <n v="12"/>
    <s v="邓长春"/>
    <n v="5"/>
    <n v="60"/>
  </r>
  <r>
    <s v="钣铆"/>
    <s v="CB"/>
    <x v="181"/>
    <s v="04-100-109"/>
    <s v="5P001"/>
    <d v="2020-12-21T00:00:00"/>
    <n v="10"/>
    <s v="110403000201"/>
    <s v="2021/1"/>
    <n v="10"/>
    <s v="杨海成"/>
    <n v="5"/>
    <n v="50"/>
  </r>
  <r>
    <s v="钣铆"/>
    <s v="CB"/>
    <x v="121"/>
    <s v="05-106-106"/>
    <s v="5P004"/>
    <d v="2020-12-18T00:00:00"/>
    <n v="1"/>
    <s v="110403000201"/>
    <s v="2021/1"/>
    <n v="1"/>
    <s v="龙涛"/>
    <n v="4"/>
    <n v="12"/>
  </r>
  <r>
    <s v="钣铆"/>
    <s v="CB"/>
    <x v="182"/>
    <s v="05-101-101"/>
    <s v="5P001"/>
    <d v="2020-12-18T00:00:00"/>
    <n v="1"/>
    <s v="110403000201"/>
    <s v="2021/1"/>
    <n v="1"/>
    <s v="曾礼杰"/>
    <n v="10"/>
    <n v="30"/>
  </r>
  <r>
    <s v="钣铆"/>
    <s v="CB"/>
    <x v="121"/>
    <s v="05-105-105"/>
    <s v="5P003"/>
    <d v="2020-12-18T00:00:00"/>
    <n v="1"/>
    <s v="110403000201"/>
    <s v="2021/1"/>
    <n v="1"/>
    <s v="刘德运"/>
    <n v="4"/>
    <n v="12"/>
  </r>
  <r>
    <s v="钣铆"/>
    <s v="CB"/>
    <x v="182"/>
    <s v="04-100-100"/>
    <s v="4P006"/>
    <d v="2020-12-18T00:00:00"/>
    <n v="1"/>
    <s v="110403000201"/>
    <s v="2021/1"/>
    <n v="1"/>
    <s v="杨磊"/>
    <n v="10"/>
    <n v="30"/>
  </r>
  <r>
    <s v="钣铆"/>
    <s v="CB"/>
    <x v="105"/>
    <s v="04-96-99"/>
    <s v="4P005"/>
    <d v="2020-12-18T00:00:00"/>
    <n v="4"/>
    <s v="110403000201"/>
    <s v="2021/1"/>
    <n v="4"/>
    <s v="李红兵"/>
    <n v="8"/>
    <n v="32"/>
  </r>
  <r>
    <s v="钣铆"/>
    <s v="CB"/>
    <x v="183"/>
    <s v="05-108-117"/>
    <s v="5P002"/>
    <d v="2020-12-18T00:00:00"/>
    <n v="10"/>
    <s v="110403000201"/>
    <s v="2021/1"/>
    <n v="10"/>
    <s v="冯斌"/>
    <n v="3"/>
    <n v="30"/>
  </r>
  <r>
    <s v="钣铆"/>
    <s v="CB"/>
    <x v="183"/>
    <s v="04-100-107"/>
    <s v="5P001"/>
    <d v="2020-12-18T00:00:00"/>
    <n v="8"/>
    <s v="110403000201"/>
    <s v="2021/1"/>
    <n v="8"/>
    <s v="张翔（小）"/>
    <n v="3"/>
    <n v="24"/>
  </r>
  <r>
    <s v="钣铆"/>
    <s v="CB"/>
    <x v="184"/>
    <s v="05-113-119"/>
    <s v="5P005"/>
    <d v="2020-12-19T00:00:00"/>
    <n v="7"/>
    <s v="110403000201"/>
    <s v="2021/1"/>
    <n v="7"/>
    <s v="张华"/>
    <n v="4"/>
    <n v="28"/>
  </r>
  <r>
    <s v="钣铆"/>
    <s v="CB"/>
    <x v="184"/>
    <s v="05-105-11"/>
    <s v="5P004"/>
    <d v="2020-12-19T00:00:00"/>
    <n v="8"/>
    <s v="110403000201"/>
    <s v="2021/1"/>
    <n v="8"/>
    <s v="张翔（大）"/>
    <n v="4"/>
    <n v="32"/>
  </r>
  <r>
    <s v="钣铆"/>
    <s v="CB"/>
    <x v="184"/>
    <s v="05-120-126"/>
    <s v="6P001"/>
    <d v="2020-12-19T00:00:00"/>
    <n v="7"/>
    <s v="110403000201"/>
    <s v="2021/1"/>
    <n v="7"/>
    <s v="杨磊"/>
    <n v="4"/>
    <n v="28"/>
  </r>
  <r>
    <s v="钣铆"/>
    <s v="CB"/>
    <x v="185"/>
    <s v="04-99-106"/>
    <s v="5P001"/>
    <d v="2020-12-19T00:00:00"/>
    <n v="8"/>
    <s v="110403000201"/>
    <s v="2021/1"/>
    <n v="8"/>
    <s v="张翔（小）"/>
    <n v="3"/>
    <n v="24"/>
  </r>
  <r>
    <s v="钣铆"/>
    <s v="CB"/>
    <x v="186"/>
    <s v="05-105-112"/>
    <s v="5P002"/>
    <d v="2020-12-19T00:00:00"/>
    <n v="8"/>
    <s v="110403000201"/>
    <s v="2021/1"/>
    <n v="8"/>
    <s v="陈开兵"/>
    <n v="5"/>
    <n v="40"/>
  </r>
  <r>
    <s v="钣铆"/>
    <s v="CB"/>
    <x v="185"/>
    <s v="05-114-120"/>
    <s v="5P003"/>
    <d v="2020-12-19T00:00:00"/>
    <n v="7"/>
    <s v="110403000201"/>
    <s v="2021/1"/>
    <n v="7"/>
    <s v="邓学永"/>
    <n v="3"/>
    <n v="21"/>
  </r>
  <r>
    <s v="钣铆"/>
    <s v="CB"/>
    <x v="185"/>
    <s v="05-107-113"/>
    <s v="5P002"/>
    <d v="2020-12-19T00:00:00"/>
    <n v="7"/>
    <s v="110403000201"/>
    <s v="2021/1"/>
    <n v="7"/>
    <s v="樊晓龙"/>
    <n v="3"/>
    <n v="21"/>
  </r>
  <r>
    <s v="钣铆"/>
    <s v="CB"/>
    <x v="186"/>
    <s v="05-113-120"/>
    <s v="5P003"/>
    <d v="2020-12-19T00:00:00"/>
    <n v="8"/>
    <s v="110403000201"/>
    <s v="2021/1"/>
    <n v="8"/>
    <s v="冯斌"/>
    <n v="5"/>
    <n v="40"/>
  </r>
  <r>
    <s v="钣铆"/>
    <s v="CB"/>
    <x v="104"/>
    <s v="04-100-101"/>
    <s v="5P001"/>
    <d v="2020-12-17T00:00:00"/>
    <n v="2"/>
    <s v="110403000201"/>
    <s v="2021/1"/>
    <n v="2"/>
    <s v="邓学永"/>
    <n v="3"/>
    <n v="18"/>
  </r>
  <r>
    <s v="钣铆"/>
    <s v="CB"/>
    <x v="179"/>
    <s v="04-92-92"/>
    <s v="5P003"/>
    <d v="2020-12-16T00:00:00"/>
    <n v="5"/>
    <s v="110403000201"/>
    <s v="2021/1"/>
    <n v="5"/>
    <s v="邓长春"/>
    <n v="5"/>
    <n v="25"/>
  </r>
  <r>
    <s v="钣铆"/>
    <s v="J10C"/>
    <x v="187"/>
    <s v="06-17-40"/>
    <s v="6P004"/>
    <d v="2020-12-21T00:00:00"/>
    <n v="12"/>
    <s v="110311000202"/>
    <s v="2021/1"/>
    <n v="12"/>
    <s v="成伟"/>
    <n v="6"/>
    <n v="72"/>
  </r>
  <r>
    <s v="钣铆"/>
    <s v="J10S"/>
    <x v="188"/>
    <s v="04-15-22"/>
    <s v="4P003"/>
    <d v="2020-12-21T00:00:00"/>
    <n v="8"/>
    <s v="110304000201"/>
    <s v="2021/1"/>
    <n v="8"/>
    <s v="杨海成"/>
    <n v="3"/>
    <n v="24"/>
  </r>
  <r>
    <s v="钣铆"/>
    <s v="J10C"/>
    <x v="187"/>
    <s v="06-17-40"/>
    <s v="6P005"/>
    <d v="2020-12-21T00:00:00"/>
    <n v="6"/>
    <s v="110311000202"/>
    <s v="2021/1"/>
    <n v="6"/>
    <s v="成伟"/>
    <n v="7"/>
    <n v="42"/>
  </r>
  <r>
    <s v="钣铆"/>
    <s v="CB"/>
    <x v="177"/>
    <s v="05-110-119"/>
    <s v="5P003"/>
    <d v="2020-12-21T00:00:00"/>
    <n v="10"/>
    <s v="110403000201"/>
    <s v="2021/1"/>
    <n v="10"/>
    <s v="刘强"/>
    <n v="3"/>
    <n v="30"/>
  </r>
  <r>
    <s v="钣铆"/>
    <s v="FC1"/>
    <x v="189"/>
    <s v="03-3024-3027"/>
    <s v="3P008"/>
    <d v="2020-12-23T00:00:00"/>
    <n v="4"/>
    <s v="110204000201"/>
    <s v="2021/1"/>
    <n v="4"/>
    <s v="李建宏"/>
    <n v="4"/>
    <n v="16"/>
  </r>
  <r>
    <s v="钣铆"/>
    <s v="CB"/>
    <x v="190"/>
    <s v="05-110-113"/>
    <s v="5P002"/>
    <d v="2020-12-21T00:00:00"/>
    <n v="4"/>
    <s v="110403000201"/>
    <s v="2021/1"/>
    <n v="4"/>
    <s v="邓长春"/>
    <n v="5"/>
    <n v="20"/>
  </r>
  <r>
    <s v="钣铆"/>
    <s v="CB"/>
    <x v="190"/>
    <s v="05-101-109"/>
    <s v="5P001"/>
    <d v="2020-12-21T00:00:00"/>
    <n v="9"/>
    <s v="110403000201"/>
    <s v="2021/1"/>
    <n v="9"/>
    <s v="邓长春"/>
    <n v="5"/>
    <n v="45"/>
  </r>
  <r>
    <s v="钣铆"/>
    <s v="J10C"/>
    <x v="191"/>
    <s v="07-1-20"/>
    <s v="C7P001"/>
    <d v="2020-12-23T00:00:00"/>
    <n v="10"/>
    <s v="110311000201"/>
    <s v="2021/1"/>
    <n v="10"/>
    <s v="李茂"/>
    <n v="3"/>
    <n v="30"/>
  </r>
  <r>
    <s v="钣铆"/>
    <s v="J10C"/>
    <x v="192"/>
    <s v="07-1-20"/>
    <s v="C7P001"/>
    <d v="2020-12-23T00:00:00"/>
    <n v="10"/>
    <s v="110311000201"/>
    <s v="2021/1"/>
    <n v="10"/>
    <s v="高龙"/>
    <n v="3"/>
    <n v="30"/>
  </r>
  <r>
    <s v="钣铆"/>
    <s v="J10C"/>
    <x v="162"/>
    <s v="07-1-20"/>
    <s v="C7P001"/>
    <d v="2020-12-23T00:00:00"/>
    <n v="10"/>
    <s v="110311000201"/>
    <s v="2021/1"/>
    <n v="10"/>
    <s v="刘德运"/>
    <n v="2"/>
    <n v="20"/>
  </r>
  <r>
    <s v="钣铆"/>
    <s v="J10C"/>
    <x v="193"/>
    <s v="06-36-37"/>
    <s v="C6P008"/>
    <d v="2020-12-22T00:00:00"/>
    <n v="2"/>
    <s v="110311000201"/>
    <s v="2021/1"/>
    <n v="2"/>
    <s v="刘强"/>
    <n v="11"/>
    <n v="66"/>
  </r>
  <r>
    <s v="钣铆"/>
    <s v="J10S"/>
    <x v="194"/>
    <s v="04-15-22"/>
    <s v="C4P008"/>
    <d v="2020-12-22T00:00:00"/>
    <n v="8"/>
    <s v="110304000201"/>
    <s v="2021/1"/>
    <n v="8"/>
    <s v="张翔（小）"/>
    <n v="2"/>
    <n v="16"/>
  </r>
  <r>
    <s v="钣铆"/>
    <s v="CB"/>
    <x v="88"/>
    <s v="04-97-97"/>
    <s v="4P004"/>
    <d v="2020-11-03T00:00:00"/>
    <n v="1"/>
    <s v="110403000201"/>
    <s v="2021/1"/>
    <n v="1"/>
    <s v="李建宏"/>
    <n v="8"/>
    <n v="24"/>
  </r>
  <r>
    <s v="钣铆"/>
    <s v="J10S"/>
    <x v="195"/>
    <s v="04-15-17"/>
    <s v="C4P015"/>
    <d v="2020-12-17T00:00:00"/>
    <n v="3"/>
    <s v="110304070201"/>
    <s v="2021/1"/>
    <n v="3"/>
    <s v="周虎"/>
    <n v="3.5"/>
    <n v="31.5"/>
  </r>
  <r>
    <s v="钣铆"/>
    <s v="J10C"/>
    <x v="8"/>
    <s v="05-1-40"/>
    <s v="C6P004"/>
    <d v="2020-12-17T00:00:00"/>
    <n v="3"/>
    <s v="110311000202"/>
    <s v="2021/1"/>
    <n v="3"/>
    <s v="李勇"/>
    <n v="2.5"/>
    <n v="22.5"/>
  </r>
  <r>
    <s v="钣铆"/>
    <s v="J10C"/>
    <x v="196"/>
    <s v="07-1-20"/>
    <s v="C7P001"/>
    <d v="2020-12-17T00:00:00"/>
    <n v="10"/>
    <s v="110311000201"/>
    <s v="2021/1"/>
    <n v="10"/>
    <s v="周虎"/>
    <n v="4"/>
    <n v="40"/>
  </r>
  <r>
    <s v="钣铆"/>
    <s v="J10C"/>
    <x v="196"/>
    <s v="07-1-20"/>
    <s v="C7P001-1"/>
    <d v="2020-12-17T00:00:00"/>
    <n v="10"/>
    <s v="110311000201"/>
    <s v="2021/1"/>
    <n v="10"/>
    <s v="刘德运"/>
    <n v="4"/>
    <n v="40"/>
  </r>
  <r>
    <s v="钣铆"/>
    <s v="J10S"/>
    <x v="67"/>
    <s v="04-15-17"/>
    <s v="C4P011"/>
    <d v="2020-12-17T00:00:00"/>
    <n v="3"/>
    <s v="110304070201"/>
    <s v="2021/1"/>
    <n v="3"/>
    <s v="廖黔川"/>
    <n v="3.5"/>
    <n v="31.5"/>
  </r>
  <r>
    <s v="钣铆"/>
    <s v="J10C"/>
    <x v="197"/>
    <s v="07-11-15"/>
    <s v="C7P002"/>
    <d v="2020-12-17T00:00:00"/>
    <n v="5"/>
    <s v="110311000201"/>
    <s v="2021/1"/>
    <n v="4"/>
    <s v="周靓"/>
    <n v="2.5"/>
    <n v="10"/>
  </r>
  <r>
    <s v="钣铆"/>
    <s v="J10C"/>
    <x v="42"/>
    <s v="07-10-13"/>
    <s v="C7P002"/>
    <d v="2020-12-17T00:00:00"/>
    <n v="4"/>
    <s v="110311000201"/>
    <s v="2021/1"/>
    <n v="4"/>
    <s v="刘强"/>
    <n v="2.5"/>
    <n v="10"/>
  </r>
  <r>
    <s v="钣铆"/>
    <s v="J10S"/>
    <x v="198"/>
    <s v="04-15-20"/>
    <s v="C4P008"/>
    <d v="2020-12-17T00:00:00"/>
    <n v="6"/>
    <s v="110304000201"/>
    <s v="2021/1"/>
    <n v="6"/>
    <s v="李建宏"/>
    <n v="3.5"/>
    <n v="21"/>
  </r>
  <r>
    <s v="钣铆"/>
    <s v="J10S"/>
    <x v="199"/>
    <s v="04-15-20"/>
    <s v="C4P005"/>
    <d v="2020-12-17T00:00:00"/>
    <n v="6"/>
    <s v="110304000201"/>
    <s v="2021/1"/>
    <n v="6"/>
    <s v="刘强"/>
    <n v="3"/>
    <n v="18"/>
  </r>
  <r>
    <s v="钣铆"/>
    <s v="J10S"/>
    <x v="200"/>
    <s v="04-15-22"/>
    <s v="C4P004"/>
    <d v="2020-12-17T00:00:00"/>
    <n v="8"/>
    <s v="110304000201"/>
    <s v="2021/1"/>
    <n v="8"/>
    <s v="周靓"/>
    <n v="2"/>
    <n v="16"/>
  </r>
  <r>
    <s v="钣铆"/>
    <s v="J10C"/>
    <x v="201"/>
    <s v="07-1-12"/>
    <s v="7P001"/>
    <d v="2020-12-10T00:00:00"/>
    <n v="12"/>
    <s v="110311000201"/>
    <s v="2021/1"/>
    <n v="12"/>
    <s v="邓长春"/>
    <n v="5"/>
    <n v="60"/>
  </r>
  <r>
    <s v="钣铆"/>
    <s v="J10S"/>
    <x v="202"/>
    <s v="04-15-22"/>
    <s v="C4P007"/>
    <d v="2020-12-17T00:00:00"/>
    <n v="8"/>
    <s v="110304000201"/>
    <s v="2021/1"/>
    <n v="8"/>
    <s v="樊晓龙"/>
    <n v="2.1"/>
    <n v="16.8"/>
  </r>
  <r>
    <s v="钣铆"/>
    <s v="J10S"/>
    <x v="203"/>
    <s v="04-15-22"/>
    <s v="C4P004"/>
    <d v="2020-12-18T00:00:00"/>
    <n v="8"/>
    <s v="110304000201"/>
    <s v="2021/1"/>
    <n v="8"/>
    <s v="杨海成"/>
    <n v="3"/>
    <n v="24"/>
  </r>
  <r>
    <s v="钣铆"/>
    <s v="J10S"/>
    <x v="204"/>
    <s v="04-15-20"/>
    <s v="C4P003"/>
    <d v="2020-12-18T00:00:00"/>
    <n v="6"/>
    <s v="110304000201"/>
    <s v="2021/1"/>
    <n v="6"/>
    <s v="陈开兵"/>
    <n v="2.5"/>
    <n v="15"/>
  </r>
  <r>
    <s v="钣铆"/>
    <s v="J10C"/>
    <x v="205"/>
    <s v="07-1-3"/>
    <s v="7P001"/>
    <d v="2020-12-18T00:00:00"/>
    <n v="3"/>
    <s v="110311090201"/>
    <s v="2021/1"/>
    <n v="3"/>
    <s v="杨磊"/>
    <n v="2"/>
    <n v="18"/>
  </r>
  <r>
    <s v="钣铆"/>
    <s v="J10C"/>
    <x v="206"/>
    <s v="06-16-40"/>
    <s v="C6P005"/>
    <d v="2020-12-17T00:00:00"/>
    <n v="4"/>
    <s v="110311000201"/>
    <s v="2021/1"/>
    <n v="4"/>
    <s v="杨峰"/>
    <n v="4"/>
    <n v="16"/>
  </r>
  <r>
    <s v="钣铆"/>
    <s v="CB"/>
    <x v="207"/>
    <s v="04-99-106"/>
    <s v="5P001"/>
    <d v="2020-12-17T00:00:00"/>
    <n v="8"/>
    <s v="110403000201"/>
    <s v="2021/1"/>
    <n v="8"/>
    <s v="陈开兵"/>
    <n v="4"/>
    <n v="32"/>
  </r>
  <r>
    <s v="钣铆"/>
    <s v="CB"/>
    <x v="207"/>
    <s v="05-107-108"/>
    <s v="5P002"/>
    <d v="2020-12-17T00:00:00"/>
    <n v="2"/>
    <s v="110403000201"/>
    <s v="2021/1"/>
    <n v="2"/>
    <s v="高龙"/>
    <n v="4"/>
    <n v="24"/>
  </r>
  <r>
    <s v="钣铆"/>
    <s v="CB"/>
    <x v="208"/>
    <s v="04-96-105"/>
    <s v="5P001"/>
    <d v="2020-12-17T00:00:00"/>
    <n v="10"/>
    <s v="110403000201"/>
    <s v="2021/1"/>
    <n v="10"/>
    <s v="陈开兵"/>
    <n v="7"/>
    <n v="70"/>
  </r>
  <r>
    <s v="钣铆"/>
    <s v="CB"/>
    <x v="208"/>
    <s v="05-106-115"/>
    <s v="5P002"/>
    <d v="2020-12-17T00:00:00"/>
    <n v="10"/>
    <s v="110403000201"/>
    <s v="2021/1"/>
    <n v="10"/>
    <s v="杨磊"/>
    <n v="7"/>
    <n v="70"/>
  </r>
  <r>
    <s v="钣铆"/>
    <s v="CB"/>
    <x v="209"/>
    <s v="05-115-123"/>
    <s v="6P001"/>
    <d v="2020-12-17T00:00:00"/>
    <n v="7"/>
    <s v="110403000201"/>
    <s v="2021/1"/>
    <n v="7"/>
    <s v="杨磊"/>
    <n v="3"/>
    <n v="21"/>
  </r>
  <r>
    <s v="钣铆"/>
    <s v="CB"/>
    <x v="209"/>
    <s v="05-108-114"/>
    <s v="5P002"/>
    <d v="2020-12-17T00:00:00"/>
    <n v="7"/>
    <s v="110403000201"/>
    <s v="2021/1"/>
    <n v="7"/>
    <s v="张翔（小）"/>
    <n v="3"/>
    <n v="21"/>
  </r>
  <r>
    <s v="钣铆"/>
    <s v="J10C"/>
    <x v="210"/>
    <s v="07-1-9"/>
    <s v="C7P001"/>
    <d v="2020-12-17T00:00:00"/>
    <n v="9"/>
    <s v="110311000201"/>
    <s v="2021/1"/>
    <n v="9"/>
    <s v="樊晓龙"/>
    <n v="3.5"/>
    <n v="31.5"/>
  </r>
  <r>
    <s v="钣铆"/>
    <s v="J10C"/>
    <x v="211"/>
    <s v="07-1-20"/>
    <s v="C7P001"/>
    <d v="2020-12-17T00:00:00"/>
    <n v="10"/>
    <s v="110311000201"/>
    <s v="2021/1"/>
    <n v="10"/>
    <s v="刘强"/>
    <n v="3.5"/>
    <n v="35"/>
  </r>
  <r>
    <s v="钣铆"/>
    <s v="J10C"/>
    <x v="211"/>
    <s v="07-1-20"/>
    <s v="C7P001-1"/>
    <d v="2020-12-17T00:00:00"/>
    <n v="10"/>
    <s v="110311000201"/>
    <s v="2021/1"/>
    <n v="10"/>
    <s v="杨建"/>
    <n v="3.5"/>
    <n v="35"/>
  </r>
  <r>
    <s v="钣铆"/>
    <s v="J10S"/>
    <x v="211"/>
    <s v="04-15-22"/>
    <s v="C4P010"/>
    <d v="2020-12-17T00:00:00"/>
    <n v="8"/>
    <s v="110304000201"/>
    <s v="2021/1"/>
    <n v="8"/>
    <s v="冯斌"/>
    <n v="3.5"/>
    <n v="28"/>
  </r>
  <r>
    <s v="钣铆"/>
    <s v="J10S"/>
    <x v="212"/>
    <s v="04-15-19"/>
    <s v="C4P006"/>
    <d v="2020-12-17T00:00:00"/>
    <n v="5"/>
    <s v="110304000201"/>
    <s v="2021/1"/>
    <n v="5"/>
    <s v="廖黔川"/>
    <n v="2"/>
    <n v="10"/>
  </r>
  <r>
    <s v="钣铆"/>
    <s v="J10C"/>
    <x v="213"/>
    <s v="07-1-5"/>
    <s v="C7P002"/>
    <d v="2020-12-17T00:00:00"/>
    <n v="5"/>
    <s v="110311090201"/>
    <s v="2021/1"/>
    <n v="5"/>
    <s v="刘德运"/>
    <n v="2"/>
    <n v="10"/>
  </r>
  <r>
    <s v="钣铆"/>
    <s v="CB"/>
    <x v="214"/>
    <s v="04-97-102"/>
    <s v="5P001"/>
    <d v="2020-12-15T00:00:00"/>
    <n v="6"/>
    <s v="110403000201"/>
    <s v="2021/1"/>
    <n v="6"/>
    <s v="曾礼杰"/>
    <n v="6"/>
    <n v="36"/>
  </r>
  <r>
    <s v="钣铆"/>
    <s v="CB"/>
    <x v="215"/>
    <s v="04-94-99"/>
    <s v="4P009"/>
    <d v="2020-12-15T00:00:00"/>
    <n v="6"/>
    <s v="110403000201"/>
    <s v="2021/1"/>
    <n v="6"/>
    <s v="刘德运"/>
    <n v="5"/>
    <n v="30"/>
  </r>
  <r>
    <s v="钣铆"/>
    <s v="CB"/>
    <x v="216"/>
    <s v="05-108-114"/>
    <s v="5P003"/>
    <d v="2020-12-15T00:00:00"/>
    <n v="7"/>
    <s v="110403000201"/>
    <s v="2021/1"/>
    <n v="7"/>
    <s v="梁文科"/>
    <n v="7"/>
    <n v="49"/>
  </r>
  <r>
    <s v="钣铆"/>
    <s v="CB"/>
    <x v="217"/>
    <s v="04-91-95"/>
    <s v="4P002"/>
    <d v="2020-12-15T00:00:00"/>
    <n v="5"/>
    <s v="110403000201"/>
    <s v="2021/1"/>
    <n v="5"/>
    <s v="张翔（小）"/>
    <n v="2"/>
    <n v="10"/>
  </r>
  <r>
    <s v="钣铆"/>
    <s v="CB"/>
    <x v="218"/>
    <s v="05-104-109"/>
    <s v="5P003"/>
    <d v="2020-12-15T00:00:00"/>
    <n v="6"/>
    <s v="110403000201"/>
    <s v="2021/1"/>
    <n v="6"/>
    <s v="廖黔川"/>
    <n v="9"/>
    <n v="54"/>
  </r>
  <r>
    <s v="钣铆"/>
    <s v="CB"/>
    <x v="219"/>
    <s v="04-81-82"/>
    <s v="5P001"/>
    <d v="2020-12-15T00:00:00"/>
    <n v="7"/>
    <s v="110403000201"/>
    <s v="2021/1"/>
    <n v="7"/>
    <s v="杨峰"/>
    <n v="7"/>
    <n v="49"/>
  </r>
  <r>
    <s v="钣铆"/>
    <s v="CB"/>
    <x v="220"/>
    <s v="05-101-110"/>
    <s v="5P001"/>
    <d v="2020-12-15T00:00:00"/>
    <n v="10"/>
    <s v="110403000201"/>
    <s v="2021/1"/>
    <n v="10"/>
    <s v="杨建"/>
    <n v="3"/>
    <n v="30"/>
  </r>
  <r>
    <s v="钣铆"/>
    <s v="CB"/>
    <x v="221"/>
    <s v="05-114-120"/>
    <s v="5P003"/>
    <d v="2020-12-15T00:00:00"/>
    <n v="7"/>
    <s v="110403000201"/>
    <s v="2021/1"/>
    <n v="7"/>
    <s v="李茂"/>
    <n v="3"/>
    <n v="21"/>
  </r>
  <r>
    <s v="钣铆"/>
    <s v="CB"/>
    <x v="221"/>
    <s v="04-99-106"/>
    <s v="5P001"/>
    <d v="2020-12-15T00:00:00"/>
    <n v="8"/>
    <s v="110403000201"/>
    <s v="2021/1"/>
    <n v="8"/>
    <s v="黄新生"/>
    <n v="3"/>
    <n v="24"/>
  </r>
  <r>
    <s v="钣铆"/>
    <s v="CB"/>
    <x v="222"/>
    <s v="04-99-106"/>
    <s v="5P001"/>
    <d v="2020-12-15T00:00:00"/>
    <n v="8"/>
    <s v="110403000201"/>
    <s v="2021/1"/>
    <n v="8"/>
    <s v="梁文科"/>
    <n v="4"/>
    <n v="32"/>
  </r>
  <r>
    <s v="钣铆"/>
    <s v="CB"/>
    <x v="222"/>
    <s v="05-107-114"/>
    <s v="5P002"/>
    <d v="2020-12-15T00:00:00"/>
    <n v="8"/>
    <s v="110403000201"/>
    <s v="2021/1"/>
    <n v="8"/>
    <s v="邓长春"/>
    <n v="4"/>
    <n v="32"/>
  </r>
  <r>
    <s v="钣铆"/>
    <s v="J10C"/>
    <x v="223"/>
    <s v="06-17-40"/>
    <s v="6P010"/>
    <d v="2020-12-15T00:00:00"/>
    <n v="2"/>
    <s v="110311000202"/>
    <s v="2021/1"/>
    <n v="2"/>
    <s v="李建宏"/>
    <n v="5"/>
    <n v="30"/>
  </r>
  <r>
    <s v="钣铆"/>
    <s v="J10C"/>
    <x v="223"/>
    <s v="06-17-40"/>
    <s v="6P009"/>
    <d v="2020-12-15T00:00:00"/>
    <n v="2"/>
    <s v="110311000202"/>
    <s v="2021/1"/>
    <n v="2"/>
    <s v="李建宏"/>
    <n v="5"/>
    <n v="30"/>
  </r>
  <r>
    <s v="钣铆"/>
    <s v="J10S"/>
    <x v="224"/>
    <s v="04-17-22"/>
    <s v="4P010"/>
    <d v="2020-12-16T00:00:00"/>
    <n v="6"/>
    <s v="110304000201"/>
    <s v="2021/1"/>
    <n v="6"/>
    <s v="廖黔川"/>
    <n v="10"/>
    <n v="60"/>
  </r>
  <r>
    <s v="钣铆"/>
    <s v="J10S"/>
    <x v="225"/>
    <s v="04-15-22"/>
    <s v="4P004"/>
    <d v="2020-12-16T00:00:00"/>
    <n v="8"/>
    <s v="110304000201"/>
    <s v="2021/1"/>
    <n v="8"/>
    <s v="曾礼杰"/>
    <n v="2"/>
    <n v="16"/>
  </r>
  <r>
    <s v="钣铆"/>
    <s v="FC1"/>
    <x v="226"/>
    <s v="03-3016-3027"/>
    <s v="3P003"/>
    <d v="2020-12-03T00:00:00"/>
    <n v="12"/>
    <s v="110204000201"/>
    <s v="2021/1"/>
    <n v="10"/>
    <s v="李建宏"/>
    <n v="4"/>
    <n v="40"/>
  </r>
  <r>
    <s v="钣铆"/>
    <s v="J10S"/>
    <x v="227"/>
    <s v="04-15-22"/>
    <s v="4P003"/>
    <d v="2020-12-09T00:00:00"/>
    <n v="8"/>
    <s v="110304000201"/>
    <s v="2021/1"/>
    <n v="8"/>
    <s v="杨海成"/>
    <n v="3.5"/>
    <n v="28"/>
  </r>
  <r>
    <s v="钣铆"/>
    <s v="J10S"/>
    <x v="228"/>
    <s v="04-15-22"/>
    <s v="4P004"/>
    <d v="2020-12-09T00:00:00"/>
    <n v="8"/>
    <s v="110304000201"/>
    <s v="2021/1"/>
    <n v="8"/>
    <s v="周靓"/>
    <n v="2.5"/>
    <n v="20"/>
  </r>
  <r>
    <s v="钣铆"/>
    <s v="CB"/>
    <x v="135"/>
    <s v="04-93-93"/>
    <s v="4P007"/>
    <d v="2020-12-09T00:00:00"/>
    <n v="1"/>
    <s v="110403000201"/>
    <s v="2021/1"/>
    <n v="1"/>
    <s v="廖黔川"/>
    <n v="7"/>
    <n v="21"/>
  </r>
  <r>
    <s v="钣铆"/>
    <s v="CB"/>
    <x v="135"/>
    <s v="04-94-94"/>
    <s v="4P006"/>
    <d v="2020-12-09T00:00:00"/>
    <n v="1"/>
    <s v="110403000201"/>
    <s v="2021/1"/>
    <n v="1"/>
    <s v="刘强"/>
    <n v="7"/>
    <n v="21"/>
  </r>
  <r>
    <s v="钣铆"/>
    <s v="J10S"/>
    <x v="229"/>
    <s v="04-15-22"/>
    <s v="C4P011"/>
    <d v="2020-12-08T00:00:00"/>
    <n v="8"/>
    <s v="110304000201"/>
    <s v="2021/1"/>
    <n v="8"/>
    <s v="龙涛"/>
    <n v="3"/>
    <n v="24"/>
  </r>
  <r>
    <s v="钣铆"/>
    <s v="J10S"/>
    <x v="230"/>
    <s v="04-15-20"/>
    <s v="C4P008"/>
    <d v="2020-12-04T00:00:00"/>
    <n v="6"/>
    <s v="110304000201"/>
    <s v="2021/1"/>
    <n v="6"/>
    <s v="樊晓龙"/>
    <n v="3"/>
    <n v="18"/>
  </r>
  <r>
    <s v="钣铆"/>
    <s v="CB"/>
    <x v="135"/>
    <s v="04-90-92"/>
    <s v="4P005"/>
    <d v="2020-12-03T00:00:00"/>
    <n v="3"/>
    <s v="110403000201"/>
    <s v="2021/1"/>
    <n v="3"/>
    <s v="廖黔川"/>
    <n v="7"/>
    <n v="63"/>
  </r>
  <r>
    <s v="钣铆"/>
    <s v="J10S"/>
    <x v="231"/>
    <s v="04-15-21"/>
    <s v="4P007"/>
    <d v="2020-12-03T00:00:00"/>
    <n v="7"/>
    <s v="110304000201"/>
    <s v="2021/1"/>
    <n v="7"/>
    <s v="张华"/>
    <n v="3.2"/>
    <n v="22.400000000000002"/>
  </r>
  <r>
    <s v="钣铆"/>
    <s v="FC1"/>
    <x v="232"/>
    <s v="03-3021-3027"/>
    <s v="3P006"/>
    <d v="2020-12-09T00:00:00"/>
    <n v="7"/>
    <s v="110204000201"/>
    <s v="2021/1"/>
    <n v="7"/>
    <s v="刘强"/>
    <n v="6"/>
    <n v="42"/>
  </r>
  <r>
    <s v="钣铆"/>
    <s v="CB"/>
    <x v="233"/>
    <s v="04-91-94"/>
    <s v="4P003"/>
    <d v="2020-12-07T00:00:00"/>
    <n v="4"/>
    <s v="110403000201"/>
    <s v="2021/1"/>
    <n v="4"/>
    <s v="杨磊"/>
    <n v="3"/>
    <n v="12"/>
  </r>
  <r>
    <s v="钣铆"/>
    <s v="CB"/>
    <x v="234"/>
    <s v="05-107-116"/>
    <s v="5P004"/>
    <d v="2020-12-11T00:00:00"/>
    <n v="10"/>
    <s v="110403000201"/>
    <s v="2021/1"/>
    <n v="10"/>
    <s v="杨建"/>
    <n v="5"/>
    <n v="50"/>
  </r>
  <r>
    <s v="钣铆"/>
    <s v="CB"/>
    <x v="235"/>
    <s v="05-102-110"/>
    <s v="5P001"/>
    <d v="2020-12-11T00:00:00"/>
    <n v="9"/>
    <s v="110403000201"/>
    <s v="2021/1"/>
    <n v="9"/>
    <s v="杨峰"/>
    <n v="6"/>
    <n v="54"/>
  </r>
  <r>
    <s v="钣铆"/>
    <s v="J10S"/>
    <x v="236"/>
    <s v="04-16-22"/>
    <s v="4P005"/>
    <d v="2020-12-14T00:00:00"/>
    <n v="7"/>
    <s v="110304000201"/>
    <s v="2021/1"/>
    <n v="7"/>
    <s v="杨建"/>
    <n v="5"/>
    <n v="35"/>
  </r>
  <r>
    <s v="钣铆"/>
    <s v="J10C"/>
    <x v="237"/>
    <s v="07-1-19"/>
    <s v="C7P001-1"/>
    <d v="2020-12-07T00:00:00"/>
    <n v="9"/>
    <s v="110311000201"/>
    <s v="2021/1"/>
    <n v="9"/>
    <s v="杨建"/>
    <n v="4"/>
    <n v="36"/>
  </r>
  <r>
    <s v="钣铆"/>
    <s v="CB"/>
    <x v="238"/>
    <s v="04-95-100"/>
    <s v="4P003"/>
    <d v="2020-11-26T00:00:00"/>
    <n v="11"/>
    <s v="110403000201"/>
    <s v="2021/1"/>
    <n v="11"/>
    <s v="张翔（小）"/>
    <n v="3"/>
    <n v="33"/>
  </r>
  <r>
    <s v="钣铆"/>
    <s v="J10C"/>
    <x v="92"/>
    <s v="06-1-16"/>
    <s v="5P007"/>
    <d v="2020-11-26T00:00:00"/>
    <n v="1"/>
    <s v="110311000202"/>
    <s v="2021/1"/>
    <n v="1"/>
    <s v="刘强"/>
    <n v="4"/>
    <n v="12"/>
  </r>
  <r>
    <s v="钣铆"/>
    <s v="CB"/>
    <x v="239"/>
    <s v="05-111-114"/>
    <s v="5P004"/>
    <d v="2020-11-27T00:00:00"/>
    <n v="6"/>
    <s v="110403000201"/>
    <s v="2021/1"/>
    <n v="6"/>
    <s v="邓学永"/>
    <n v="4"/>
    <n v="24"/>
  </r>
  <r>
    <s v="钣铆"/>
    <s v="J10S"/>
    <x v="240"/>
    <s v="04-15-22"/>
    <s v="4P006"/>
    <d v="2020-12-01T00:00:00"/>
    <n v="8"/>
    <s v="110304000201"/>
    <s v="2021/1"/>
    <n v="8"/>
    <s v="李红兵"/>
    <n v="12"/>
    <n v="96"/>
  </r>
  <r>
    <s v="钣铆"/>
    <s v="CB"/>
    <x v="238"/>
    <s v="05-101-103"/>
    <s v="5P001"/>
    <d v="2020-12-01T00:00:00"/>
    <n v="5"/>
    <s v="110403000201"/>
    <s v="2021/1"/>
    <n v="5"/>
    <s v="冯斌"/>
    <n v="3"/>
    <n v="15"/>
  </r>
  <r>
    <s v="钣铆"/>
    <s v="FC1"/>
    <x v="241"/>
    <s v="01-21-21"/>
    <s v="1P018"/>
    <d v="2020-12-03T00:00:00"/>
    <n v="1"/>
    <s v="110204030202"/>
    <s v="2021/1"/>
    <n v="1"/>
    <s v="杨建"/>
    <n v="5"/>
    <n v="15"/>
  </r>
  <r>
    <s v="钣铆"/>
    <s v="FC1"/>
    <x v="241"/>
    <s v="01-18-27"/>
    <s v="1P017"/>
    <d v="2020-12-03T00:00:00"/>
    <n v="2"/>
    <s v="110204030202"/>
    <s v="2021/1"/>
    <n v="2"/>
    <s v="杨建"/>
    <n v="5"/>
    <n v="30"/>
  </r>
  <r>
    <s v="钣铆"/>
    <s v="CB"/>
    <x v="219"/>
    <s v="04-94-96"/>
    <s v="4P003"/>
    <d v="2020-11-12T00:00:00"/>
    <n v="3"/>
    <s v="110403000201"/>
    <s v="2021/1"/>
    <n v="2"/>
    <s v="张翔（小）"/>
    <n v="7"/>
    <n v="42"/>
  </r>
  <r>
    <s v="钣铆"/>
    <s v="CB"/>
    <x v="83"/>
    <s v="04-99-100"/>
    <s v="4P003"/>
    <d v="2020-11-16T00:00:00"/>
    <n v="2"/>
    <s v="110403000201"/>
    <s v="2021/1"/>
    <n v="2"/>
    <s v="杨磊"/>
    <n v="8"/>
    <n v="48"/>
  </r>
  <r>
    <s v="钣铆"/>
    <s v="FC1"/>
    <x v="242"/>
    <s v="03-3016-3021"/>
    <s v="3P003"/>
    <d v="2020-11-16T00:00:00"/>
    <n v="6"/>
    <s v="110204000201"/>
    <s v="2021/1"/>
    <n v="6"/>
    <s v="张翔（小）"/>
    <n v="3"/>
    <n v="18"/>
  </r>
  <r>
    <s v="钣铆"/>
    <s v="FC1"/>
    <x v="243"/>
    <s v="03-3016-3021"/>
    <s v="3P003"/>
    <d v="2020-11-17T00:00:00"/>
    <n v="6"/>
    <s v="110204000201"/>
    <s v="2021/1"/>
    <n v="6"/>
    <s v="杨海成"/>
    <n v="4"/>
    <n v="24"/>
  </r>
  <r>
    <s v="钣铆"/>
    <s v="FC1"/>
    <x v="243"/>
    <s v="03-3022-3027"/>
    <s v="3P002"/>
    <d v="2020-11-17T00:00:00"/>
    <n v="6"/>
    <s v="110204000201"/>
    <s v="2021/1"/>
    <n v="6"/>
    <s v="陈开兵"/>
    <n v="4"/>
    <n v="24"/>
  </r>
  <r>
    <s v="钣铆"/>
    <s v="J10C"/>
    <x v="244"/>
    <s v="06-17-40"/>
    <s v="6P013"/>
    <d v="2020-10-30T00:00:00"/>
    <n v="6"/>
    <s v="110311000202"/>
    <s v="2021/1"/>
    <n v="6"/>
    <s v="杨建"/>
    <n v="5"/>
    <n v="30"/>
  </r>
  <r>
    <s v="钣铆"/>
    <s v="CB"/>
    <x v="18"/>
    <s v="05-110-110"/>
    <s v="5P004"/>
    <d v="2020-11-19T00:00:00"/>
    <n v="1"/>
    <s v="110403000201"/>
    <s v="2021/1"/>
    <n v="1"/>
    <s v="樊晓龙"/>
    <n v="4"/>
    <n v="12"/>
  </r>
  <r>
    <s v="钣铆"/>
    <s v="CB"/>
    <x v="18"/>
    <s v="05-108-108"/>
    <s v="5P003"/>
    <d v="2020-11-19T00:00:00"/>
    <n v="2"/>
    <s v="110403000201"/>
    <s v="2021/1"/>
    <n v="2"/>
    <s v="高龙"/>
    <n v="4"/>
    <n v="24"/>
  </r>
  <r>
    <s v="钣铆"/>
    <s v="CB"/>
    <x v="245"/>
    <s v="04-99-101"/>
    <s v="5P001"/>
    <d v="2020-11-12T00:00:00"/>
    <n v="3"/>
    <s v="110403000201"/>
    <s v="2021/1"/>
    <n v="3"/>
    <s v="刘强"/>
    <n v="4"/>
    <n v="36"/>
  </r>
  <r>
    <s v="钣铆"/>
    <s v="CB"/>
    <x v="245"/>
    <s v="05-103-103"/>
    <s v="5P002"/>
    <d v="2020-11-12T00:00:00"/>
    <n v="1"/>
    <s v="110403000201"/>
    <s v="2021/1"/>
    <n v="1"/>
    <s v="冯斌"/>
    <n v="4"/>
    <n v="12"/>
  </r>
  <r>
    <s v="钣铆"/>
    <s v="J10C"/>
    <x v="92"/>
    <s v="06-17-40"/>
    <s v="6P007"/>
    <d v="2020-10-23T00:00:00"/>
    <n v="2"/>
    <s v="110311000202"/>
    <s v="2021/1"/>
    <n v="2"/>
    <s v="杨峰"/>
    <n v="4"/>
    <n v="24"/>
  </r>
  <r>
    <s v="钣铆"/>
    <s v="FC1"/>
    <x v="246"/>
    <s v="03-3016-3027"/>
    <s v="3P002"/>
    <d v="2020-10-27T00:00:00"/>
    <n v="12"/>
    <s v="110204000201"/>
    <s v="2021/1"/>
    <n v="11"/>
    <s v="刘德运"/>
    <n v="3"/>
    <n v="33"/>
  </r>
  <r>
    <s v="钣铆"/>
    <s v="CB"/>
    <x v="247"/>
    <s v="04-99-105"/>
    <s v="5P001"/>
    <d v="2020-10-13T00:00:00"/>
    <n v="11"/>
    <s v="110403000201"/>
    <s v="2021/1"/>
    <n v="10"/>
    <s v="杨海成"/>
    <n v="3"/>
    <n v="30"/>
  </r>
  <r>
    <s v="钣铆"/>
    <s v="CB"/>
    <x v="247"/>
    <s v="05-110-120"/>
    <s v="5P002"/>
    <d v="2020-10-13T00:00:00"/>
    <n v="11"/>
    <s v="110403000201"/>
    <s v="2021/1"/>
    <n v="11"/>
    <s v="杨建"/>
    <n v="3"/>
    <n v="33"/>
  </r>
  <r>
    <s v="钣铆"/>
    <s v="CB"/>
    <x v="148"/>
    <s v="05-109-114"/>
    <s v="5P002"/>
    <d v="2020-10-14T00:00:00"/>
    <n v="6"/>
    <s v="110403000201"/>
    <s v="2021/1"/>
    <n v="4"/>
    <s v="梁文科"/>
    <n v="4"/>
    <n v="16"/>
  </r>
  <r>
    <s v="钣铆"/>
    <s v="CB"/>
    <x v="248"/>
    <s v="05-109-118"/>
    <s v="5P002-1"/>
    <d v="2020-10-28T00:00:00"/>
    <n v="1"/>
    <s v="110403000201"/>
    <s v="2021/1"/>
    <n v="1"/>
    <s v="张翔（大）"/>
    <n v="4"/>
    <n v="4"/>
  </r>
  <r>
    <s v="钣铆"/>
    <s v="CB"/>
    <x v="249"/>
    <s v="04-93-95"/>
    <s v="5P001"/>
    <d v="2020-11-06T00:00:00"/>
    <n v="3"/>
    <s v="110403000201"/>
    <s v="2021/1"/>
    <n v="3"/>
    <s v="刘强"/>
    <n v="3"/>
    <n v="27"/>
  </r>
  <r>
    <s v="钣铆"/>
    <s v="CB"/>
    <x v="250"/>
    <s v="04-99-104"/>
    <s v="5P001"/>
    <d v="2020-11-07T00:00:00"/>
    <n v="6"/>
    <s v="110403000201"/>
    <s v="2021/1"/>
    <n v="6"/>
    <s v="邓学永"/>
    <n v="3"/>
    <n v="18"/>
  </r>
  <r>
    <s v="钣铆"/>
    <s v="FC1"/>
    <x v="251"/>
    <s v="03-3022-3027"/>
    <s v="3P003"/>
    <d v="2020-11-10T00:00:00"/>
    <n v="6"/>
    <s v="110204000201"/>
    <s v="2021/1"/>
    <n v="6"/>
    <s v="刘德运"/>
    <n v="2"/>
    <n v="12"/>
  </r>
  <r>
    <s v="钣铆"/>
    <s v="CB"/>
    <x v="252"/>
    <s v="04-95-98"/>
    <s v="4P003"/>
    <d v="2020-10-27T00:00:00"/>
    <n v="4"/>
    <s v="110403000201"/>
    <s v="2021/1"/>
    <n v="4"/>
    <s v="邓长春"/>
    <n v="7"/>
    <n v="28"/>
  </r>
  <r>
    <s v="钣铆"/>
    <s v="CB"/>
    <x v="20"/>
    <s v="05-113-113"/>
    <s v="5P002-1"/>
    <d v="2020-10-26T00:00:00"/>
    <n v="1"/>
    <s v="110403000201"/>
    <s v="2021/1"/>
    <n v="1"/>
    <s v="张翔（大）"/>
    <n v="3"/>
    <n v="3"/>
  </r>
  <r>
    <s v="钣铆"/>
    <s v="CB"/>
    <x v="253"/>
    <s v="03-63-63"/>
    <s v="3P007"/>
    <d v="2020-03-26T00:00:00"/>
    <n v="1"/>
    <s v="110403000201"/>
    <s v="2021/1"/>
    <n v="1"/>
    <s v="廖黔川"/>
    <n v="6"/>
    <n v="18"/>
  </r>
  <r>
    <s v="钣铆"/>
    <s v="FC1"/>
    <x v="114"/>
    <s v="01-6-17"/>
    <s v="1P009"/>
    <d v="2020-09-08T00:00:00"/>
    <n v="2"/>
    <s v="110204030202"/>
    <s v="2021/1"/>
    <n v="2"/>
    <s v="成伟"/>
    <n v="20"/>
    <n v="120"/>
  </r>
  <r>
    <s v="钣铆"/>
    <s v="FC1"/>
    <x v="114"/>
    <s v="01-6-17"/>
    <s v="1P011"/>
    <d v="2020-09-08T00:00:00"/>
    <n v="1"/>
    <s v="110204030202"/>
    <s v="2021/1"/>
    <n v="1"/>
    <s v="成伟"/>
    <n v="20"/>
    <n v="60"/>
  </r>
  <r>
    <s v="钣铆"/>
    <s v="FC1"/>
    <x v="114"/>
    <s v="01-6-17"/>
    <s v="1P010"/>
    <d v="2020-09-08T00:00:00"/>
    <n v="1"/>
    <s v="110204030202"/>
    <s v="2021/1"/>
    <n v="1"/>
    <s v="成伟"/>
    <n v="20"/>
    <n v="60"/>
  </r>
  <r>
    <s v="钣铆"/>
    <s v="J10S"/>
    <x v="254"/>
    <s v="04-15-15"/>
    <s v="C4P004-1"/>
    <d v="2020-12-17T00:00:00"/>
    <n v="1"/>
    <s v="110304000201"/>
    <s v="2021/1"/>
    <n v="1"/>
    <s v="曾佳其"/>
    <n v="2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4" cacheId="25" applyNumberFormats="0" applyBorderFormats="0" applyFontFormats="0" applyPatternFormats="0" applyAlignmentFormats="0" applyWidthHeightFormats="1" dataCaption="值" updatedVersion="6" minRefreshableVersion="3" useAutoFormatting="1" itemPrintTitles="1" createdVersion="6" indent="0" outline="1" outlineData="1" multipleFieldFilters="0">
  <location ref="A3:C259" firstHeaderRow="0" firstDataRow="1" firstDataCol="1"/>
  <pivotFields count="13">
    <pivotField showAll="0"/>
    <pivotField showAll="0"/>
    <pivotField axis="axisRow" showAll="0">
      <items count="256">
        <item x="114"/>
        <item x="241"/>
        <item x="170"/>
        <item x="168"/>
        <item x="70"/>
        <item x="149"/>
        <item x="226"/>
        <item x="167"/>
        <item x="176"/>
        <item x="169"/>
        <item x="133"/>
        <item x="2"/>
        <item x="132"/>
        <item x="6"/>
        <item x="5"/>
        <item x="4"/>
        <item x="11"/>
        <item x="242"/>
        <item x="189"/>
        <item x="251"/>
        <item x="130"/>
        <item x="232"/>
        <item x="246"/>
        <item x="171"/>
        <item x="243"/>
        <item x="131"/>
        <item x="141"/>
        <item x="139"/>
        <item x="148"/>
        <item x="34"/>
        <item x="181"/>
        <item x="134"/>
        <item x="36"/>
        <item x="35"/>
        <item x="142"/>
        <item x="233"/>
        <item x="234"/>
        <item x="253"/>
        <item x="235"/>
        <item x="250"/>
        <item x="93"/>
        <item x="177"/>
        <item x="73"/>
        <item x="140"/>
        <item x="88"/>
        <item x="135"/>
        <item x="77"/>
        <item x="124"/>
        <item x="221"/>
        <item x="138"/>
        <item x="137"/>
        <item x="175"/>
        <item x="185"/>
        <item x="209"/>
        <item x="208"/>
        <item x="207"/>
        <item x="183"/>
        <item x="220"/>
        <item x="119"/>
        <item x="123"/>
        <item x="33"/>
        <item x="86"/>
        <item x="186"/>
        <item x="20"/>
        <item x="179"/>
        <item x="184"/>
        <item x="222"/>
        <item x="125"/>
        <item x="98"/>
        <item x="105"/>
        <item x="215"/>
        <item x="216"/>
        <item x="214"/>
        <item x="64"/>
        <item x="40"/>
        <item x="121"/>
        <item x="87"/>
        <item x="31"/>
        <item x="182"/>
        <item x="120"/>
        <item x="122"/>
        <item x="113"/>
        <item x="38"/>
        <item x="14"/>
        <item x="61"/>
        <item x="13"/>
        <item x="248"/>
        <item x="85"/>
        <item x="103"/>
        <item x="59"/>
        <item x="62"/>
        <item x="174"/>
        <item x="190"/>
        <item x="118"/>
        <item x="219"/>
        <item x="104"/>
        <item x="239"/>
        <item x="39"/>
        <item x="218"/>
        <item x="37"/>
        <item x="16"/>
        <item x="22"/>
        <item x="74"/>
        <item x="0"/>
        <item x="75"/>
        <item x="107"/>
        <item x="112"/>
        <item x="102"/>
        <item x="106"/>
        <item x="18"/>
        <item x="19"/>
        <item x="12"/>
        <item x="65"/>
        <item x="17"/>
        <item x="60"/>
        <item x="245"/>
        <item x="30"/>
        <item x="29"/>
        <item x="147"/>
        <item x="247"/>
        <item x="15"/>
        <item x="27"/>
        <item x="238"/>
        <item x="217"/>
        <item x="249"/>
        <item x="252"/>
        <item x="83"/>
        <item x="76"/>
        <item x="136"/>
        <item x="84"/>
        <item x="72"/>
        <item x="78"/>
        <item x="89"/>
        <item x="55"/>
        <item x="56"/>
        <item x="41"/>
        <item x="68"/>
        <item x="96"/>
        <item x="210"/>
        <item x="154"/>
        <item x="32"/>
        <item x="178"/>
        <item x="153"/>
        <item x="21"/>
        <item x="213"/>
        <item x="127"/>
        <item x="90"/>
        <item x="9"/>
        <item x="157"/>
        <item x="25"/>
        <item x="195"/>
        <item x="193"/>
        <item x="3"/>
        <item x="7"/>
        <item x="156"/>
        <item x="229"/>
        <item x="95"/>
        <item x="48"/>
        <item x="194"/>
        <item x="69"/>
        <item x="97"/>
        <item x="180"/>
        <item x="230"/>
        <item x="8"/>
        <item x="66"/>
        <item x="71"/>
        <item x="196"/>
        <item x="159"/>
        <item x="160"/>
        <item x="192"/>
        <item x="67"/>
        <item x="237"/>
        <item x="43"/>
        <item x="28"/>
        <item x="197"/>
        <item x="42"/>
        <item x="45"/>
        <item x="63"/>
        <item x="1"/>
        <item x="158"/>
        <item x="198"/>
        <item x="155"/>
        <item x="80"/>
        <item x="47"/>
        <item x="26"/>
        <item x="199"/>
        <item x="200"/>
        <item x="254"/>
        <item x="202"/>
        <item x="58"/>
        <item x="57"/>
        <item x="162"/>
        <item x="191"/>
        <item x="206"/>
        <item x="211"/>
        <item x="49"/>
        <item x="81"/>
        <item x="94"/>
        <item x="203"/>
        <item x="204"/>
        <item x="173"/>
        <item x="79"/>
        <item x="82"/>
        <item x="212"/>
        <item x="205"/>
        <item x="53"/>
        <item x="44"/>
        <item x="92"/>
        <item x="109"/>
        <item x="151"/>
        <item x="165"/>
        <item x="145"/>
        <item x="150"/>
        <item x="126"/>
        <item x="164"/>
        <item x="152"/>
        <item x="201"/>
        <item x="100"/>
        <item x="128"/>
        <item x="244"/>
        <item x="143"/>
        <item x="223"/>
        <item x="110"/>
        <item x="101"/>
        <item x="111"/>
        <item x="116"/>
        <item x="108"/>
        <item x="99"/>
        <item x="163"/>
        <item x="187"/>
        <item x="161"/>
        <item x="24"/>
        <item x="23"/>
        <item x="236"/>
        <item x="46"/>
        <item x="228"/>
        <item x="231"/>
        <item x="224"/>
        <item x="227"/>
        <item x="91"/>
        <item x="188"/>
        <item x="117"/>
        <item x="144"/>
        <item x="10"/>
        <item x="225"/>
        <item x="52"/>
        <item x="54"/>
        <item x="129"/>
        <item x="115"/>
        <item x="240"/>
        <item x="146"/>
        <item x="166"/>
        <item x="172"/>
        <item x="51"/>
        <item x="50"/>
        <item t="default"/>
      </items>
    </pivotField>
    <pivotField showAll="0"/>
    <pivotField showAll="0"/>
    <pivotField numFmtId="14" showAll="0"/>
    <pivotField showAll="0"/>
    <pivotField showAll="0"/>
    <pivotField showAll="0"/>
    <pivotField dataField="1" showAll="0"/>
    <pivotField showAll="0"/>
    <pivotField showAll="0"/>
    <pivotField dataField="1" showAll="0"/>
  </pivotFields>
  <rowFields count="1">
    <field x="2"/>
  </rowFields>
  <rowItems count="25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 t="grand">
      <x/>
    </i>
  </rowItems>
  <colFields count="1">
    <field x="-2"/>
  </colFields>
  <colItems count="2">
    <i>
      <x/>
    </i>
    <i i="1">
      <x v="1"/>
    </i>
  </colItems>
  <dataFields count="2">
    <dataField name="求和项:合格数量" fld="9" baseField="0" baseItem="0"/>
    <dataField name="求和项:总工时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95"/>
  <sheetViews>
    <sheetView tabSelected="1" workbookViewId="0">
      <pane ySplit="1" topLeftCell="A306" activePane="bottomLeft" state="frozen"/>
      <selection pane="bottomLeft" activeCell="E354" sqref="E354"/>
    </sheetView>
  </sheetViews>
  <sheetFormatPr defaultRowHeight="12" x14ac:dyDescent="0.25"/>
  <cols>
    <col min="1" max="2" width="6" style="6" bestFit="1" customWidth="1"/>
    <col min="3" max="3" width="29.6640625" style="6" customWidth="1"/>
    <col min="4" max="4" width="20.33203125" style="6" customWidth="1"/>
    <col min="5" max="5" width="15.88671875" style="6" customWidth="1"/>
    <col min="6" max="6" width="11.6640625" style="6" bestFit="1" customWidth="1"/>
    <col min="7" max="7" width="13.33203125" style="6" customWidth="1"/>
    <col min="8" max="8" width="17.109375" style="6" customWidth="1"/>
    <col min="9" max="9" width="10.44140625" style="6" bestFit="1" customWidth="1"/>
    <col min="10" max="10" width="8.33203125" style="6" bestFit="1" customWidth="1"/>
    <col min="11" max="11" width="11.109375" style="6" bestFit="1" customWidth="1"/>
    <col min="12" max="12" width="9.6640625" style="6" bestFit="1" customWidth="1"/>
    <col min="13" max="13" width="10.88671875" style="6" customWidth="1"/>
    <col min="14" max="16384" width="8.88671875" style="6"/>
  </cols>
  <sheetData>
    <row r="1" spans="1:13" ht="31.2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5" t="s">
        <v>11</v>
      </c>
      <c r="M1" s="5" t="s">
        <v>12</v>
      </c>
    </row>
    <row r="2" spans="1:13" x14ac:dyDescent="0.25">
      <c r="A2" s="7" t="s">
        <v>13</v>
      </c>
      <c r="B2" s="8" t="s">
        <v>14</v>
      </c>
      <c r="C2" s="8" t="s">
        <v>15</v>
      </c>
      <c r="D2" s="9" t="s">
        <v>16</v>
      </c>
      <c r="E2" s="8" t="s">
        <v>17</v>
      </c>
      <c r="F2" s="10">
        <v>44216</v>
      </c>
      <c r="G2" s="8">
        <v>2</v>
      </c>
      <c r="H2" s="11" t="s">
        <v>18</v>
      </c>
      <c r="I2" s="11" t="s">
        <v>546</v>
      </c>
      <c r="J2" s="8">
        <v>2</v>
      </c>
      <c r="K2" s="8" t="s">
        <v>547</v>
      </c>
      <c r="L2" s="8">
        <v>3</v>
      </c>
      <c r="M2" s="12">
        <v>18</v>
      </c>
    </row>
    <row r="3" spans="1:13" x14ac:dyDescent="0.25">
      <c r="A3" s="7" t="s">
        <v>13</v>
      </c>
      <c r="B3" s="8" t="s">
        <v>19</v>
      </c>
      <c r="C3" s="8" t="s">
        <v>20</v>
      </c>
      <c r="D3" s="9" t="s">
        <v>21</v>
      </c>
      <c r="E3" s="8" t="s">
        <v>22</v>
      </c>
      <c r="F3" s="10">
        <v>44214</v>
      </c>
      <c r="G3" s="8">
        <v>3</v>
      </c>
      <c r="H3" s="11" t="s">
        <v>23</v>
      </c>
      <c r="I3" s="11" t="s">
        <v>546</v>
      </c>
      <c r="J3" s="8">
        <v>3</v>
      </c>
      <c r="K3" s="8" t="s">
        <v>548</v>
      </c>
      <c r="L3" s="8">
        <v>3.5</v>
      </c>
      <c r="M3" s="12">
        <v>31.5</v>
      </c>
    </row>
    <row r="4" spans="1:13" x14ac:dyDescent="0.25">
      <c r="A4" s="7" t="s">
        <v>13</v>
      </c>
      <c r="B4" s="8" t="s">
        <v>24</v>
      </c>
      <c r="C4" s="8" t="s">
        <v>25</v>
      </c>
      <c r="D4" s="9" t="s">
        <v>26</v>
      </c>
      <c r="E4" s="8" t="s">
        <v>27</v>
      </c>
      <c r="F4" s="10">
        <v>44211</v>
      </c>
      <c r="G4" s="8">
        <v>7</v>
      </c>
      <c r="H4" s="11" t="s">
        <v>28</v>
      </c>
      <c r="I4" s="11" t="s">
        <v>546</v>
      </c>
      <c r="J4" s="8">
        <v>7</v>
      </c>
      <c r="K4" s="8" t="s">
        <v>549</v>
      </c>
      <c r="L4" s="8">
        <v>6</v>
      </c>
      <c r="M4" s="13">
        <v>42</v>
      </c>
    </row>
    <row r="5" spans="1:13" x14ac:dyDescent="0.25">
      <c r="A5" s="7" t="s">
        <v>13</v>
      </c>
      <c r="B5" s="8" t="s">
        <v>19</v>
      </c>
      <c r="C5" s="8" t="s">
        <v>29</v>
      </c>
      <c r="D5" s="9" t="s">
        <v>30</v>
      </c>
      <c r="E5" s="8" t="s">
        <v>31</v>
      </c>
      <c r="F5" s="10">
        <v>44214</v>
      </c>
      <c r="G5" s="8">
        <v>10</v>
      </c>
      <c r="H5" s="11" t="s">
        <v>23</v>
      </c>
      <c r="I5" s="11" t="s">
        <v>546</v>
      </c>
      <c r="J5" s="8">
        <v>10</v>
      </c>
      <c r="K5" s="8" t="s">
        <v>550</v>
      </c>
      <c r="L5" s="8">
        <v>3</v>
      </c>
      <c r="M5" s="13">
        <v>30</v>
      </c>
    </row>
    <row r="6" spans="1:13" x14ac:dyDescent="0.25">
      <c r="A6" s="7" t="s">
        <v>13</v>
      </c>
      <c r="B6" s="8" t="s">
        <v>24</v>
      </c>
      <c r="C6" s="8" t="s">
        <v>32</v>
      </c>
      <c r="D6" s="9" t="s">
        <v>33</v>
      </c>
      <c r="E6" s="8" t="s">
        <v>34</v>
      </c>
      <c r="F6" s="10">
        <v>44214</v>
      </c>
      <c r="G6" s="8">
        <v>3</v>
      </c>
      <c r="H6" s="11" t="s">
        <v>28</v>
      </c>
      <c r="I6" s="11" t="s">
        <v>546</v>
      </c>
      <c r="J6" s="8">
        <v>3</v>
      </c>
      <c r="K6" s="8" t="s">
        <v>551</v>
      </c>
      <c r="L6" s="8">
        <v>3</v>
      </c>
      <c r="M6" s="13">
        <v>27</v>
      </c>
    </row>
    <row r="7" spans="1:13" x14ac:dyDescent="0.25">
      <c r="A7" s="7" t="s">
        <v>13</v>
      </c>
      <c r="B7" s="8" t="s">
        <v>24</v>
      </c>
      <c r="C7" s="8" t="s">
        <v>35</v>
      </c>
      <c r="D7" s="9" t="s">
        <v>36</v>
      </c>
      <c r="E7" s="8" t="s">
        <v>27</v>
      </c>
      <c r="F7" s="10">
        <v>44211</v>
      </c>
      <c r="G7" s="8">
        <v>5</v>
      </c>
      <c r="H7" s="11" t="s">
        <v>28</v>
      </c>
      <c r="I7" s="11" t="s">
        <v>546</v>
      </c>
      <c r="J7" s="8">
        <v>5</v>
      </c>
      <c r="K7" s="8" t="s">
        <v>550</v>
      </c>
      <c r="L7" s="8">
        <v>3</v>
      </c>
      <c r="M7" s="13">
        <v>15</v>
      </c>
    </row>
    <row r="8" spans="1:13" x14ac:dyDescent="0.25">
      <c r="A8" s="7" t="s">
        <v>13</v>
      </c>
      <c r="B8" s="8" t="s">
        <v>24</v>
      </c>
      <c r="C8" s="8" t="s">
        <v>37</v>
      </c>
      <c r="D8" s="9" t="s">
        <v>38</v>
      </c>
      <c r="E8" s="8" t="s">
        <v>39</v>
      </c>
      <c r="F8" s="10">
        <v>44211</v>
      </c>
      <c r="G8" s="8">
        <v>12</v>
      </c>
      <c r="H8" s="11" t="s">
        <v>28</v>
      </c>
      <c r="I8" s="11" t="s">
        <v>546</v>
      </c>
      <c r="J8" s="8">
        <v>12</v>
      </c>
      <c r="K8" s="8" t="s">
        <v>552</v>
      </c>
      <c r="L8" s="8">
        <v>3</v>
      </c>
      <c r="M8" s="13">
        <v>36</v>
      </c>
    </row>
    <row r="9" spans="1:13" x14ac:dyDescent="0.25">
      <c r="A9" s="7" t="s">
        <v>13</v>
      </c>
      <c r="B9" s="8" t="s">
        <v>19</v>
      </c>
      <c r="C9" s="8" t="s">
        <v>40</v>
      </c>
      <c r="D9" s="9" t="s">
        <v>41</v>
      </c>
      <c r="E9" s="8" t="s">
        <v>31</v>
      </c>
      <c r="F9" s="10">
        <v>44214</v>
      </c>
      <c r="G9" s="8">
        <v>6</v>
      </c>
      <c r="H9" s="11" t="s">
        <v>42</v>
      </c>
      <c r="I9" s="11" t="s">
        <v>546</v>
      </c>
      <c r="J9" s="8">
        <v>6</v>
      </c>
      <c r="K9" s="8" t="s">
        <v>553</v>
      </c>
      <c r="L9" s="8">
        <v>4</v>
      </c>
      <c r="M9" s="13">
        <v>24</v>
      </c>
    </row>
    <row r="10" spans="1:13" x14ac:dyDescent="0.25">
      <c r="A10" s="7" t="s">
        <v>13</v>
      </c>
      <c r="B10" s="8" t="s">
        <v>19</v>
      </c>
      <c r="C10" s="8" t="s">
        <v>43</v>
      </c>
      <c r="D10" s="9" t="s">
        <v>30</v>
      </c>
      <c r="E10" s="8" t="s">
        <v>31</v>
      </c>
      <c r="F10" s="10">
        <v>44214</v>
      </c>
      <c r="G10" s="8">
        <v>10</v>
      </c>
      <c r="H10" s="11" t="s">
        <v>23</v>
      </c>
      <c r="I10" s="11" t="s">
        <v>546</v>
      </c>
      <c r="J10" s="8">
        <v>10</v>
      </c>
      <c r="K10" s="8" t="s">
        <v>554</v>
      </c>
      <c r="L10" s="8">
        <v>2.5</v>
      </c>
      <c r="M10" s="13">
        <v>25</v>
      </c>
    </row>
    <row r="11" spans="1:13" x14ac:dyDescent="0.25">
      <c r="A11" s="7" t="s">
        <v>13</v>
      </c>
      <c r="B11" s="8" t="s">
        <v>19</v>
      </c>
      <c r="C11" s="8" t="s">
        <v>43</v>
      </c>
      <c r="D11" s="9" t="s">
        <v>30</v>
      </c>
      <c r="E11" s="8" t="s">
        <v>44</v>
      </c>
      <c r="F11" s="10">
        <v>44214</v>
      </c>
      <c r="G11" s="8">
        <v>10</v>
      </c>
      <c r="H11" s="11" t="s">
        <v>23</v>
      </c>
      <c r="I11" s="11" t="s">
        <v>546</v>
      </c>
      <c r="J11" s="8">
        <v>10</v>
      </c>
      <c r="K11" s="8" t="s">
        <v>555</v>
      </c>
      <c r="L11" s="8">
        <v>2.5</v>
      </c>
      <c r="M11" s="13">
        <v>25</v>
      </c>
    </row>
    <row r="12" spans="1:13" x14ac:dyDescent="0.25">
      <c r="A12" s="7" t="s">
        <v>13</v>
      </c>
      <c r="B12" s="8" t="s">
        <v>19</v>
      </c>
      <c r="C12" s="8" t="s">
        <v>45</v>
      </c>
      <c r="D12" s="9" t="s">
        <v>30</v>
      </c>
      <c r="E12" s="8" t="s">
        <v>31</v>
      </c>
      <c r="F12" s="10">
        <v>44214</v>
      </c>
      <c r="G12" s="8">
        <v>10</v>
      </c>
      <c r="H12" s="11" t="s">
        <v>23</v>
      </c>
      <c r="I12" s="11" t="s">
        <v>546</v>
      </c>
      <c r="J12" s="8">
        <v>10</v>
      </c>
      <c r="K12" s="8" t="s">
        <v>556</v>
      </c>
      <c r="L12" s="8">
        <v>2</v>
      </c>
      <c r="M12" s="13">
        <v>20</v>
      </c>
    </row>
    <row r="13" spans="1:13" x14ac:dyDescent="0.25">
      <c r="A13" s="7" t="s">
        <v>13</v>
      </c>
      <c r="B13" s="8" t="s">
        <v>46</v>
      </c>
      <c r="C13" s="8" t="s">
        <v>47</v>
      </c>
      <c r="D13" s="9" t="s">
        <v>48</v>
      </c>
      <c r="E13" s="8" t="s">
        <v>49</v>
      </c>
      <c r="F13" s="10">
        <v>44211</v>
      </c>
      <c r="G13" s="8">
        <v>8</v>
      </c>
      <c r="H13" s="11" t="s">
        <v>50</v>
      </c>
      <c r="I13" s="11" t="s">
        <v>546</v>
      </c>
      <c r="J13" s="8">
        <v>8</v>
      </c>
      <c r="K13" s="8" t="s">
        <v>557</v>
      </c>
      <c r="L13" s="8">
        <v>4</v>
      </c>
      <c r="M13" s="13">
        <v>32</v>
      </c>
    </row>
    <row r="14" spans="1:13" x14ac:dyDescent="0.25">
      <c r="A14" s="7" t="s">
        <v>13</v>
      </c>
      <c r="B14" s="8" t="s">
        <v>24</v>
      </c>
      <c r="C14" s="8" t="s">
        <v>51</v>
      </c>
      <c r="D14" s="9" t="s">
        <v>52</v>
      </c>
      <c r="E14" s="8" t="s">
        <v>53</v>
      </c>
      <c r="F14" s="10">
        <v>44211</v>
      </c>
      <c r="G14" s="8">
        <v>6</v>
      </c>
      <c r="H14" s="11" t="s">
        <v>28</v>
      </c>
      <c r="I14" s="11" t="s">
        <v>546</v>
      </c>
      <c r="J14" s="8">
        <v>6</v>
      </c>
      <c r="K14" s="8" t="s">
        <v>558</v>
      </c>
      <c r="L14" s="8">
        <v>2</v>
      </c>
      <c r="M14" s="13">
        <v>12</v>
      </c>
    </row>
    <row r="15" spans="1:13" x14ac:dyDescent="0.25">
      <c r="A15" s="7" t="s">
        <v>13</v>
      </c>
      <c r="B15" s="8" t="s">
        <v>14</v>
      </c>
      <c r="C15" s="8" t="s">
        <v>54</v>
      </c>
      <c r="D15" s="9" t="s">
        <v>55</v>
      </c>
      <c r="E15" s="8" t="s">
        <v>56</v>
      </c>
      <c r="F15" s="10">
        <v>44211</v>
      </c>
      <c r="G15" s="8">
        <v>7</v>
      </c>
      <c r="H15" s="11" t="s">
        <v>18</v>
      </c>
      <c r="I15" s="11" t="s">
        <v>546</v>
      </c>
      <c r="J15" s="8">
        <v>7</v>
      </c>
      <c r="K15" s="8" t="s">
        <v>551</v>
      </c>
      <c r="L15" s="8">
        <v>3</v>
      </c>
      <c r="M15" s="13">
        <v>21</v>
      </c>
    </row>
    <row r="16" spans="1:13" x14ac:dyDescent="0.25">
      <c r="A16" s="7" t="s">
        <v>13</v>
      </c>
      <c r="B16" s="8" t="s">
        <v>14</v>
      </c>
      <c r="C16" s="8" t="s">
        <v>57</v>
      </c>
      <c r="D16" s="9" t="s">
        <v>58</v>
      </c>
      <c r="E16" s="8" t="s">
        <v>59</v>
      </c>
      <c r="F16" s="10">
        <v>44211</v>
      </c>
      <c r="G16" s="8">
        <v>2</v>
      </c>
      <c r="H16" s="11" t="s">
        <v>18</v>
      </c>
      <c r="I16" s="11" t="s">
        <v>546</v>
      </c>
      <c r="J16" s="8">
        <v>2</v>
      </c>
      <c r="K16" s="8" t="s">
        <v>559</v>
      </c>
      <c r="L16" s="8">
        <v>3</v>
      </c>
      <c r="M16" s="13">
        <v>18</v>
      </c>
    </row>
    <row r="17" spans="1:13" x14ac:dyDescent="0.25">
      <c r="A17" s="7" t="s">
        <v>13</v>
      </c>
      <c r="B17" s="8" t="s">
        <v>14</v>
      </c>
      <c r="C17" s="8" t="s">
        <v>60</v>
      </c>
      <c r="D17" s="9" t="s">
        <v>58</v>
      </c>
      <c r="E17" s="8" t="s">
        <v>59</v>
      </c>
      <c r="F17" s="10">
        <v>44211</v>
      </c>
      <c r="G17" s="8">
        <v>10</v>
      </c>
      <c r="H17" s="11" t="s">
        <v>18</v>
      </c>
      <c r="I17" s="11" t="s">
        <v>546</v>
      </c>
      <c r="J17" s="8">
        <v>10</v>
      </c>
      <c r="K17" s="8" t="s">
        <v>551</v>
      </c>
      <c r="L17" s="8">
        <v>5</v>
      </c>
      <c r="M17" s="13">
        <v>50</v>
      </c>
    </row>
    <row r="18" spans="1:13" x14ac:dyDescent="0.25">
      <c r="A18" s="7" t="s">
        <v>13</v>
      </c>
      <c r="B18" s="8" t="s">
        <v>14</v>
      </c>
      <c r="C18" s="8" t="s">
        <v>61</v>
      </c>
      <c r="D18" s="9" t="s">
        <v>62</v>
      </c>
      <c r="E18" s="8" t="s">
        <v>17</v>
      </c>
      <c r="F18" s="10">
        <v>44211</v>
      </c>
      <c r="G18" s="8">
        <v>10</v>
      </c>
      <c r="H18" s="11" t="s">
        <v>18</v>
      </c>
      <c r="I18" s="11" t="s">
        <v>546</v>
      </c>
      <c r="J18" s="8">
        <v>10</v>
      </c>
      <c r="K18" s="8" t="s">
        <v>551</v>
      </c>
      <c r="L18" s="8">
        <v>3</v>
      </c>
      <c r="M18" s="13">
        <v>30</v>
      </c>
    </row>
    <row r="19" spans="1:13" x14ac:dyDescent="0.25">
      <c r="A19" s="7" t="s">
        <v>13</v>
      </c>
      <c r="B19" s="8" t="s">
        <v>14</v>
      </c>
      <c r="C19" s="8" t="s">
        <v>63</v>
      </c>
      <c r="D19" s="9" t="s">
        <v>58</v>
      </c>
      <c r="E19" s="8" t="s">
        <v>59</v>
      </c>
      <c r="F19" s="10">
        <v>44211</v>
      </c>
      <c r="G19" s="8">
        <v>10</v>
      </c>
      <c r="H19" s="11" t="s">
        <v>18</v>
      </c>
      <c r="I19" s="11" t="s">
        <v>546</v>
      </c>
      <c r="J19" s="8">
        <v>10</v>
      </c>
      <c r="K19" s="8" t="s">
        <v>560</v>
      </c>
      <c r="L19" s="8">
        <v>6</v>
      </c>
      <c r="M19" s="13">
        <v>60</v>
      </c>
    </row>
    <row r="20" spans="1:13" x14ac:dyDescent="0.25">
      <c r="A20" s="7" t="s">
        <v>13</v>
      </c>
      <c r="B20" s="8" t="s">
        <v>14</v>
      </c>
      <c r="C20" s="8" t="s">
        <v>64</v>
      </c>
      <c r="D20" s="9" t="s">
        <v>58</v>
      </c>
      <c r="E20" s="8" t="s">
        <v>59</v>
      </c>
      <c r="F20" s="10">
        <v>44211</v>
      </c>
      <c r="G20" s="8">
        <v>10</v>
      </c>
      <c r="H20" s="11" t="s">
        <v>18</v>
      </c>
      <c r="I20" s="11" t="s">
        <v>546</v>
      </c>
      <c r="J20" s="8">
        <v>10</v>
      </c>
      <c r="K20" s="8" t="s">
        <v>561</v>
      </c>
      <c r="L20" s="8">
        <v>3</v>
      </c>
      <c r="M20" s="13">
        <v>30</v>
      </c>
    </row>
    <row r="21" spans="1:13" x14ac:dyDescent="0.25">
      <c r="A21" s="7" t="s">
        <v>13</v>
      </c>
      <c r="B21" s="8" t="s">
        <v>14</v>
      </c>
      <c r="C21" s="8" t="s">
        <v>65</v>
      </c>
      <c r="D21" s="9" t="s">
        <v>66</v>
      </c>
      <c r="E21" s="8" t="s">
        <v>67</v>
      </c>
      <c r="F21" s="10">
        <v>44211</v>
      </c>
      <c r="G21" s="8">
        <v>8</v>
      </c>
      <c r="H21" s="11" t="s">
        <v>18</v>
      </c>
      <c r="I21" s="11" t="s">
        <v>546</v>
      </c>
      <c r="J21" s="8">
        <v>8</v>
      </c>
      <c r="K21" s="8" t="s">
        <v>552</v>
      </c>
      <c r="L21" s="8">
        <v>4</v>
      </c>
      <c r="M21" s="13">
        <v>32</v>
      </c>
    </row>
    <row r="22" spans="1:13" x14ac:dyDescent="0.25">
      <c r="A22" s="7" t="s">
        <v>13</v>
      </c>
      <c r="B22" s="8" t="s">
        <v>14</v>
      </c>
      <c r="C22" s="8" t="s">
        <v>54</v>
      </c>
      <c r="D22" s="9" t="s">
        <v>68</v>
      </c>
      <c r="E22" s="8" t="s">
        <v>59</v>
      </c>
      <c r="F22" s="10">
        <v>44211</v>
      </c>
      <c r="G22" s="8">
        <v>8</v>
      </c>
      <c r="H22" s="11" t="s">
        <v>18</v>
      </c>
      <c r="I22" s="11" t="s">
        <v>546</v>
      </c>
      <c r="J22" s="8">
        <v>8</v>
      </c>
      <c r="K22" s="8" t="s">
        <v>552</v>
      </c>
      <c r="L22" s="8">
        <v>3</v>
      </c>
      <c r="M22" s="13">
        <v>24</v>
      </c>
    </row>
    <row r="23" spans="1:13" x14ac:dyDescent="0.25">
      <c r="A23" s="7" t="s">
        <v>13</v>
      </c>
      <c r="B23" s="8" t="s">
        <v>14</v>
      </c>
      <c r="C23" s="8" t="s">
        <v>69</v>
      </c>
      <c r="D23" s="9" t="s">
        <v>55</v>
      </c>
      <c r="E23" s="8" t="s">
        <v>56</v>
      </c>
      <c r="F23" s="10">
        <v>44211</v>
      </c>
      <c r="G23" s="8">
        <v>7</v>
      </c>
      <c r="H23" s="11" t="s">
        <v>18</v>
      </c>
      <c r="I23" s="11" t="s">
        <v>546</v>
      </c>
      <c r="J23" s="8">
        <v>7</v>
      </c>
      <c r="K23" s="8" t="s">
        <v>548</v>
      </c>
      <c r="L23" s="8">
        <v>3</v>
      </c>
      <c r="M23" s="13">
        <v>21</v>
      </c>
    </row>
    <row r="24" spans="1:13" x14ac:dyDescent="0.25">
      <c r="A24" s="7" t="s">
        <v>13</v>
      </c>
      <c r="B24" s="8" t="s">
        <v>14</v>
      </c>
      <c r="C24" s="8" t="s">
        <v>70</v>
      </c>
      <c r="D24" s="9" t="s">
        <v>71</v>
      </c>
      <c r="E24" s="8" t="s">
        <v>72</v>
      </c>
      <c r="F24" s="10">
        <v>44209</v>
      </c>
      <c r="G24" s="8">
        <v>5</v>
      </c>
      <c r="H24" s="11" t="s">
        <v>18</v>
      </c>
      <c r="I24" s="11" t="s">
        <v>546</v>
      </c>
      <c r="J24" s="8">
        <v>5</v>
      </c>
      <c r="K24" s="8" t="s">
        <v>551</v>
      </c>
      <c r="L24" s="8">
        <v>3</v>
      </c>
      <c r="M24" s="13">
        <v>15</v>
      </c>
    </row>
    <row r="25" spans="1:13" x14ac:dyDescent="0.25">
      <c r="A25" s="7" t="s">
        <v>13</v>
      </c>
      <c r="B25" s="8" t="s">
        <v>19</v>
      </c>
      <c r="C25" s="8" t="s">
        <v>73</v>
      </c>
      <c r="D25" s="9" t="s">
        <v>74</v>
      </c>
      <c r="E25" s="8" t="s">
        <v>75</v>
      </c>
      <c r="F25" s="10">
        <v>44209</v>
      </c>
      <c r="G25" s="8">
        <v>8</v>
      </c>
      <c r="H25" s="11" t="s">
        <v>76</v>
      </c>
      <c r="I25" s="11" t="s">
        <v>546</v>
      </c>
      <c r="J25" s="8">
        <v>8</v>
      </c>
      <c r="K25" s="8" t="s">
        <v>562</v>
      </c>
      <c r="L25" s="8">
        <v>4</v>
      </c>
      <c r="M25" s="13">
        <v>32</v>
      </c>
    </row>
    <row r="26" spans="1:13" x14ac:dyDescent="0.25">
      <c r="A26" s="7" t="s">
        <v>13</v>
      </c>
      <c r="B26" s="8" t="s">
        <v>19</v>
      </c>
      <c r="C26" s="8" t="s">
        <v>73</v>
      </c>
      <c r="D26" s="9" t="s">
        <v>77</v>
      </c>
      <c r="E26" s="8" t="s">
        <v>31</v>
      </c>
      <c r="F26" s="10">
        <v>44209</v>
      </c>
      <c r="G26" s="8">
        <v>16</v>
      </c>
      <c r="H26" s="11" t="s">
        <v>42</v>
      </c>
      <c r="I26" s="11" t="s">
        <v>546</v>
      </c>
      <c r="J26" s="8">
        <v>16</v>
      </c>
      <c r="K26" s="8" t="s">
        <v>562</v>
      </c>
      <c r="L26" s="8">
        <v>4</v>
      </c>
      <c r="M26" s="13">
        <v>64</v>
      </c>
    </row>
    <row r="27" spans="1:13" x14ac:dyDescent="0.25">
      <c r="A27" s="7" t="s">
        <v>13</v>
      </c>
      <c r="B27" s="8" t="s">
        <v>14</v>
      </c>
      <c r="C27" s="8" t="s">
        <v>78</v>
      </c>
      <c r="D27" s="9" t="s">
        <v>79</v>
      </c>
      <c r="E27" s="8" t="s">
        <v>59</v>
      </c>
      <c r="F27" s="10">
        <v>44209</v>
      </c>
      <c r="G27" s="8">
        <v>10</v>
      </c>
      <c r="H27" s="11" t="s">
        <v>18</v>
      </c>
      <c r="I27" s="11" t="s">
        <v>546</v>
      </c>
      <c r="J27" s="8">
        <v>10</v>
      </c>
      <c r="K27" s="8" t="s">
        <v>563</v>
      </c>
      <c r="L27" s="8">
        <v>4</v>
      </c>
      <c r="M27" s="13">
        <v>40</v>
      </c>
    </row>
    <row r="28" spans="1:13" ht="14.4" x14ac:dyDescent="0.25">
      <c r="A28" s="7" t="s">
        <v>13</v>
      </c>
      <c r="B28" s="8" t="s">
        <v>19</v>
      </c>
      <c r="C28" s="14" t="s">
        <v>80</v>
      </c>
      <c r="D28" s="9" t="s">
        <v>41</v>
      </c>
      <c r="E28" s="8" t="s">
        <v>81</v>
      </c>
      <c r="F28" s="10">
        <v>44210</v>
      </c>
      <c r="G28" s="8">
        <v>6</v>
      </c>
      <c r="H28" s="11" t="s">
        <v>42</v>
      </c>
      <c r="I28" s="11" t="s">
        <v>546</v>
      </c>
      <c r="J28" s="8">
        <v>6</v>
      </c>
      <c r="K28" s="8" t="s">
        <v>564</v>
      </c>
      <c r="L28" s="8">
        <v>7</v>
      </c>
      <c r="M28" s="13">
        <v>42</v>
      </c>
    </row>
    <row r="29" spans="1:13" ht="14.4" x14ac:dyDescent="0.25">
      <c r="A29" s="7" t="s">
        <v>13</v>
      </c>
      <c r="B29" s="8" t="s">
        <v>19</v>
      </c>
      <c r="C29" s="14" t="s">
        <v>82</v>
      </c>
      <c r="D29" s="9" t="s">
        <v>83</v>
      </c>
      <c r="E29" s="8" t="s">
        <v>81</v>
      </c>
      <c r="F29" s="10">
        <v>44210</v>
      </c>
      <c r="G29" s="8">
        <v>2</v>
      </c>
      <c r="H29" s="11" t="s">
        <v>42</v>
      </c>
      <c r="I29" s="11" t="s">
        <v>546</v>
      </c>
      <c r="J29" s="8">
        <v>2</v>
      </c>
      <c r="K29" s="8" t="s">
        <v>565</v>
      </c>
      <c r="L29" s="8">
        <v>8</v>
      </c>
      <c r="M29" s="13">
        <v>48</v>
      </c>
    </row>
    <row r="30" spans="1:13" x14ac:dyDescent="0.25">
      <c r="A30" s="7" t="s">
        <v>13</v>
      </c>
      <c r="B30" s="8" t="s">
        <v>19</v>
      </c>
      <c r="C30" s="8" t="s">
        <v>84</v>
      </c>
      <c r="D30" s="9" t="s">
        <v>85</v>
      </c>
      <c r="E30" s="8" t="s">
        <v>86</v>
      </c>
      <c r="F30" s="10">
        <v>44205</v>
      </c>
      <c r="G30" s="8">
        <v>2</v>
      </c>
      <c r="H30" s="11" t="s">
        <v>50</v>
      </c>
      <c r="I30" s="11" t="s">
        <v>546</v>
      </c>
      <c r="J30" s="8">
        <v>2</v>
      </c>
      <c r="K30" s="8" t="s">
        <v>566</v>
      </c>
      <c r="L30" s="8">
        <v>3</v>
      </c>
      <c r="M30" s="13">
        <v>18</v>
      </c>
    </row>
    <row r="31" spans="1:13" x14ac:dyDescent="0.25">
      <c r="A31" s="7" t="s">
        <v>13</v>
      </c>
      <c r="B31" s="8" t="s">
        <v>19</v>
      </c>
      <c r="C31" s="8" t="s">
        <v>87</v>
      </c>
      <c r="D31" s="9" t="s">
        <v>88</v>
      </c>
      <c r="E31" s="8" t="s">
        <v>89</v>
      </c>
      <c r="F31" s="10">
        <v>44209</v>
      </c>
      <c r="G31" s="8">
        <v>9</v>
      </c>
      <c r="H31" s="11" t="s">
        <v>23</v>
      </c>
      <c r="I31" s="11" t="s">
        <v>546</v>
      </c>
      <c r="J31" s="8">
        <v>9</v>
      </c>
      <c r="K31" s="8" t="s">
        <v>561</v>
      </c>
      <c r="L31" s="8">
        <v>3</v>
      </c>
      <c r="M31" s="13">
        <v>27</v>
      </c>
    </row>
    <row r="32" spans="1:13" x14ac:dyDescent="0.25">
      <c r="A32" s="7" t="s">
        <v>13</v>
      </c>
      <c r="B32" s="8" t="s">
        <v>19</v>
      </c>
      <c r="C32" s="8" t="s">
        <v>87</v>
      </c>
      <c r="D32" s="9" t="s">
        <v>88</v>
      </c>
      <c r="E32" s="8" t="s">
        <v>90</v>
      </c>
      <c r="F32" s="10">
        <v>44209</v>
      </c>
      <c r="G32" s="8">
        <v>9</v>
      </c>
      <c r="H32" s="11" t="s">
        <v>23</v>
      </c>
      <c r="I32" s="11" t="s">
        <v>546</v>
      </c>
      <c r="J32" s="8">
        <v>9</v>
      </c>
      <c r="K32" s="8" t="s">
        <v>567</v>
      </c>
      <c r="L32" s="8">
        <v>3</v>
      </c>
      <c r="M32" s="13">
        <v>27</v>
      </c>
    </row>
    <row r="33" spans="1:13" x14ac:dyDescent="0.25">
      <c r="A33" s="7" t="s">
        <v>13</v>
      </c>
      <c r="B33" s="8" t="s">
        <v>14</v>
      </c>
      <c r="C33" s="8" t="s">
        <v>91</v>
      </c>
      <c r="D33" s="9" t="s">
        <v>58</v>
      </c>
      <c r="E33" s="8" t="s">
        <v>59</v>
      </c>
      <c r="F33" s="10">
        <v>44210</v>
      </c>
      <c r="G33" s="8">
        <v>10</v>
      </c>
      <c r="H33" s="11" t="s">
        <v>18</v>
      </c>
      <c r="I33" s="11" t="s">
        <v>546</v>
      </c>
      <c r="J33" s="8">
        <v>10</v>
      </c>
      <c r="K33" s="8" t="s">
        <v>563</v>
      </c>
      <c r="L33" s="8">
        <v>3</v>
      </c>
      <c r="M33" s="13">
        <v>30</v>
      </c>
    </row>
    <row r="34" spans="1:13" x14ac:dyDescent="0.25">
      <c r="A34" s="7" t="s">
        <v>13</v>
      </c>
      <c r="B34" s="8" t="s">
        <v>19</v>
      </c>
      <c r="C34" s="8" t="s">
        <v>92</v>
      </c>
      <c r="D34" s="9" t="s">
        <v>77</v>
      </c>
      <c r="E34" s="8" t="s">
        <v>31</v>
      </c>
      <c r="F34" s="10">
        <v>44210</v>
      </c>
      <c r="G34" s="8">
        <v>8</v>
      </c>
      <c r="H34" s="11" t="s">
        <v>42</v>
      </c>
      <c r="I34" s="11" t="s">
        <v>546</v>
      </c>
      <c r="J34" s="8">
        <v>8</v>
      </c>
      <c r="K34" s="8" t="s">
        <v>568</v>
      </c>
      <c r="L34" s="8">
        <v>7</v>
      </c>
      <c r="M34" s="13">
        <v>56</v>
      </c>
    </row>
    <row r="35" spans="1:13" x14ac:dyDescent="0.25">
      <c r="A35" s="7" t="s">
        <v>13</v>
      </c>
      <c r="B35" s="8" t="s">
        <v>14</v>
      </c>
      <c r="C35" s="8" t="s">
        <v>93</v>
      </c>
      <c r="D35" s="9" t="s">
        <v>94</v>
      </c>
      <c r="E35" s="8" t="s">
        <v>56</v>
      </c>
      <c r="F35" s="10">
        <v>44211</v>
      </c>
      <c r="G35" s="8">
        <v>10</v>
      </c>
      <c r="H35" s="11" t="s">
        <v>18</v>
      </c>
      <c r="I35" s="11" t="s">
        <v>546</v>
      </c>
      <c r="J35" s="8">
        <v>10</v>
      </c>
      <c r="K35" s="8" t="s">
        <v>569</v>
      </c>
      <c r="L35" s="8">
        <v>4</v>
      </c>
      <c r="M35" s="13">
        <v>40</v>
      </c>
    </row>
    <row r="36" spans="1:13" x14ac:dyDescent="0.25">
      <c r="A36" s="7" t="s">
        <v>13</v>
      </c>
      <c r="B36" s="8" t="s">
        <v>14</v>
      </c>
      <c r="C36" s="8" t="s">
        <v>95</v>
      </c>
      <c r="D36" s="9" t="s">
        <v>96</v>
      </c>
      <c r="E36" s="8" t="s">
        <v>56</v>
      </c>
      <c r="F36" s="10">
        <v>44211</v>
      </c>
      <c r="G36" s="8">
        <v>10</v>
      </c>
      <c r="H36" s="11" t="s">
        <v>18</v>
      </c>
      <c r="I36" s="11" t="s">
        <v>546</v>
      </c>
      <c r="J36" s="8">
        <v>10</v>
      </c>
      <c r="K36" s="8" t="s">
        <v>567</v>
      </c>
      <c r="L36" s="8">
        <v>3</v>
      </c>
      <c r="M36" s="13">
        <v>30</v>
      </c>
    </row>
    <row r="37" spans="1:13" x14ac:dyDescent="0.25">
      <c r="A37" s="7" t="s">
        <v>13</v>
      </c>
      <c r="B37" s="8" t="s">
        <v>46</v>
      </c>
      <c r="C37" s="8" t="s">
        <v>45</v>
      </c>
      <c r="D37" s="9" t="s">
        <v>97</v>
      </c>
      <c r="E37" s="8" t="s">
        <v>98</v>
      </c>
      <c r="F37" s="10">
        <v>44208</v>
      </c>
      <c r="G37" s="8">
        <v>2</v>
      </c>
      <c r="H37" s="11" t="s">
        <v>99</v>
      </c>
      <c r="I37" s="11" t="s">
        <v>546</v>
      </c>
      <c r="J37" s="8">
        <v>2</v>
      </c>
      <c r="K37" s="8" t="s">
        <v>547</v>
      </c>
      <c r="L37" s="8">
        <v>2</v>
      </c>
      <c r="M37" s="13">
        <v>12</v>
      </c>
    </row>
    <row r="38" spans="1:13" x14ac:dyDescent="0.25">
      <c r="A38" s="7" t="s">
        <v>13</v>
      </c>
      <c r="B38" s="8" t="s">
        <v>14</v>
      </c>
      <c r="C38" s="8" t="s">
        <v>100</v>
      </c>
      <c r="D38" s="9" t="s">
        <v>101</v>
      </c>
      <c r="E38" s="8" t="s">
        <v>17</v>
      </c>
      <c r="F38" s="10">
        <v>44208</v>
      </c>
      <c r="G38" s="8">
        <v>4</v>
      </c>
      <c r="H38" s="11" t="s">
        <v>102</v>
      </c>
      <c r="I38" s="11" t="s">
        <v>546</v>
      </c>
      <c r="J38" s="8">
        <v>4</v>
      </c>
      <c r="K38" s="8" t="s">
        <v>560</v>
      </c>
      <c r="L38" s="8">
        <v>3</v>
      </c>
      <c r="M38" s="13">
        <v>12</v>
      </c>
    </row>
    <row r="39" spans="1:13" x14ac:dyDescent="0.25">
      <c r="A39" s="7" t="s">
        <v>13</v>
      </c>
      <c r="B39" s="8" t="s">
        <v>46</v>
      </c>
      <c r="C39" s="8" t="s">
        <v>103</v>
      </c>
      <c r="D39" s="9" t="s">
        <v>104</v>
      </c>
      <c r="E39" s="8" t="s">
        <v>105</v>
      </c>
      <c r="F39" s="10">
        <v>44208</v>
      </c>
      <c r="G39" s="8">
        <v>1</v>
      </c>
      <c r="H39" s="11" t="s">
        <v>99</v>
      </c>
      <c r="I39" s="11" t="s">
        <v>546</v>
      </c>
      <c r="J39" s="8">
        <v>1</v>
      </c>
      <c r="K39" s="8" t="s">
        <v>551</v>
      </c>
      <c r="L39" s="8">
        <v>3</v>
      </c>
      <c r="M39" s="13">
        <v>9</v>
      </c>
    </row>
    <row r="40" spans="1:13" x14ac:dyDescent="0.25">
      <c r="A40" s="7" t="s">
        <v>13</v>
      </c>
      <c r="B40" s="8" t="s">
        <v>14</v>
      </c>
      <c r="C40" s="8" t="s">
        <v>106</v>
      </c>
      <c r="D40" s="9" t="s">
        <v>107</v>
      </c>
      <c r="E40" s="8" t="s">
        <v>72</v>
      </c>
      <c r="F40" s="10">
        <v>44209</v>
      </c>
      <c r="G40" s="8">
        <v>9</v>
      </c>
      <c r="H40" s="11" t="s">
        <v>18</v>
      </c>
      <c r="I40" s="11" t="s">
        <v>546</v>
      </c>
      <c r="J40" s="8">
        <v>9</v>
      </c>
      <c r="K40" s="8" t="s">
        <v>566</v>
      </c>
      <c r="L40" s="8">
        <v>3</v>
      </c>
      <c r="M40" s="13">
        <v>27</v>
      </c>
    </row>
    <row r="41" spans="1:13" x14ac:dyDescent="0.25">
      <c r="A41" s="7" t="s">
        <v>13</v>
      </c>
      <c r="B41" s="8" t="s">
        <v>14</v>
      </c>
      <c r="C41" s="8" t="s">
        <v>106</v>
      </c>
      <c r="D41" s="9" t="s">
        <v>108</v>
      </c>
      <c r="E41" s="8" t="s">
        <v>81</v>
      </c>
      <c r="F41" s="10">
        <v>44209</v>
      </c>
      <c r="G41" s="8">
        <v>11</v>
      </c>
      <c r="H41" s="11" t="s">
        <v>18</v>
      </c>
      <c r="I41" s="11" t="s">
        <v>546</v>
      </c>
      <c r="J41" s="8">
        <v>11</v>
      </c>
      <c r="K41" s="8" t="s">
        <v>548</v>
      </c>
      <c r="L41" s="8">
        <v>3</v>
      </c>
      <c r="M41" s="13">
        <v>33</v>
      </c>
    </row>
    <row r="42" spans="1:13" x14ac:dyDescent="0.25">
      <c r="A42" s="7" t="s">
        <v>13</v>
      </c>
      <c r="B42" s="8" t="s">
        <v>14</v>
      </c>
      <c r="C42" s="8" t="s">
        <v>109</v>
      </c>
      <c r="D42" s="9" t="s">
        <v>110</v>
      </c>
      <c r="E42" s="8" t="s">
        <v>59</v>
      </c>
      <c r="F42" s="10">
        <v>44209</v>
      </c>
      <c r="G42" s="8">
        <v>12</v>
      </c>
      <c r="H42" s="11" t="s">
        <v>18</v>
      </c>
      <c r="I42" s="11" t="s">
        <v>546</v>
      </c>
      <c r="J42" s="8">
        <v>12</v>
      </c>
      <c r="K42" s="8" t="s">
        <v>558</v>
      </c>
      <c r="L42" s="8">
        <v>3</v>
      </c>
      <c r="M42" s="13">
        <v>36</v>
      </c>
    </row>
    <row r="43" spans="1:13" x14ac:dyDescent="0.25">
      <c r="A43" s="7" t="s">
        <v>13</v>
      </c>
      <c r="B43" s="8" t="s">
        <v>14</v>
      </c>
      <c r="C43" s="8" t="s">
        <v>111</v>
      </c>
      <c r="D43" s="9" t="s">
        <v>112</v>
      </c>
      <c r="E43" s="8" t="s">
        <v>56</v>
      </c>
      <c r="F43" s="10">
        <v>44209</v>
      </c>
      <c r="G43" s="8">
        <v>1</v>
      </c>
      <c r="H43" s="11" t="s">
        <v>18</v>
      </c>
      <c r="I43" s="11" t="s">
        <v>546</v>
      </c>
      <c r="J43" s="8">
        <v>1</v>
      </c>
      <c r="K43" s="8" t="s">
        <v>565</v>
      </c>
      <c r="L43" s="8">
        <v>6</v>
      </c>
      <c r="M43" s="13">
        <v>18</v>
      </c>
    </row>
    <row r="44" spans="1:13" x14ac:dyDescent="0.25">
      <c r="A44" s="7" t="s">
        <v>13</v>
      </c>
      <c r="B44" s="8" t="s">
        <v>14</v>
      </c>
      <c r="C44" s="8" t="s">
        <v>113</v>
      </c>
      <c r="D44" s="9" t="s">
        <v>114</v>
      </c>
      <c r="E44" s="8" t="s">
        <v>115</v>
      </c>
      <c r="F44" s="10">
        <v>44209</v>
      </c>
      <c r="G44" s="8">
        <v>5</v>
      </c>
      <c r="H44" s="11" t="s">
        <v>18</v>
      </c>
      <c r="I44" s="11" t="s">
        <v>546</v>
      </c>
      <c r="J44" s="8">
        <v>5</v>
      </c>
      <c r="K44" s="8" t="s">
        <v>570</v>
      </c>
      <c r="L44" s="8">
        <v>3</v>
      </c>
      <c r="M44" s="13">
        <v>15</v>
      </c>
    </row>
    <row r="45" spans="1:13" x14ac:dyDescent="0.25">
      <c r="A45" s="7" t="s">
        <v>13</v>
      </c>
      <c r="B45" s="8" t="s">
        <v>14</v>
      </c>
      <c r="C45" s="8" t="s">
        <v>116</v>
      </c>
      <c r="D45" s="9" t="s">
        <v>117</v>
      </c>
      <c r="E45" s="8" t="s">
        <v>59</v>
      </c>
      <c r="F45" s="10">
        <v>44203</v>
      </c>
      <c r="G45" s="8">
        <v>7</v>
      </c>
      <c r="H45" s="11" t="s">
        <v>18</v>
      </c>
      <c r="I45" s="11" t="s">
        <v>546</v>
      </c>
      <c r="J45" s="8">
        <v>7</v>
      </c>
      <c r="K45" s="8" t="s">
        <v>550</v>
      </c>
      <c r="L45" s="8">
        <v>3</v>
      </c>
      <c r="M45" s="13">
        <v>21</v>
      </c>
    </row>
    <row r="46" spans="1:13" x14ac:dyDescent="0.25">
      <c r="A46" s="7" t="s">
        <v>13</v>
      </c>
      <c r="B46" s="8" t="s">
        <v>14</v>
      </c>
      <c r="C46" s="8" t="s">
        <v>118</v>
      </c>
      <c r="D46" s="9" t="s">
        <v>119</v>
      </c>
      <c r="E46" s="8" t="s">
        <v>17</v>
      </c>
      <c r="F46" s="10">
        <v>44203</v>
      </c>
      <c r="G46" s="8">
        <v>5</v>
      </c>
      <c r="H46" s="11" t="s">
        <v>18</v>
      </c>
      <c r="I46" s="11" t="s">
        <v>546</v>
      </c>
      <c r="J46" s="8">
        <v>5</v>
      </c>
      <c r="K46" s="8" t="s">
        <v>571</v>
      </c>
      <c r="L46" s="8">
        <v>3</v>
      </c>
      <c r="M46" s="13">
        <v>15</v>
      </c>
    </row>
    <row r="47" spans="1:13" x14ac:dyDescent="0.25">
      <c r="A47" s="7" t="s">
        <v>13</v>
      </c>
      <c r="B47" s="8" t="s">
        <v>14</v>
      </c>
      <c r="C47" s="8" t="s">
        <v>120</v>
      </c>
      <c r="D47" s="9" t="s">
        <v>121</v>
      </c>
      <c r="E47" s="8" t="s">
        <v>56</v>
      </c>
      <c r="F47" s="10">
        <v>44203</v>
      </c>
      <c r="G47" s="8">
        <v>10</v>
      </c>
      <c r="H47" s="11" t="s">
        <v>18</v>
      </c>
      <c r="I47" s="11" t="s">
        <v>546</v>
      </c>
      <c r="J47" s="8">
        <v>10</v>
      </c>
      <c r="K47" s="8" t="s">
        <v>555</v>
      </c>
      <c r="L47" s="8">
        <v>3</v>
      </c>
      <c r="M47" s="13">
        <v>30</v>
      </c>
    </row>
    <row r="48" spans="1:13" x14ac:dyDescent="0.25">
      <c r="A48" s="7" t="s">
        <v>13</v>
      </c>
      <c r="B48" s="8" t="s">
        <v>14</v>
      </c>
      <c r="C48" s="8" t="s">
        <v>120</v>
      </c>
      <c r="D48" s="9" t="s">
        <v>122</v>
      </c>
      <c r="E48" s="8" t="s">
        <v>17</v>
      </c>
      <c r="F48" s="10">
        <v>44203</v>
      </c>
      <c r="G48" s="8">
        <v>9</v>
      </c>
      <c r="H48" s="11" t="s">
        <v>18</v>
      </c>
      <c r="I48" s="11" t="s">
        <v>546</v>
      </c>
      <c r="J48" s="8">
        <v>9</v>
      </c>
      <c r="K48" s="8" t="s">
        <v>554</v>
      </c>
      <c r="L48" s="8">
        <v>3</v>
      </c>
      <c r="M48" s="13">
        <v>27</v>
      </c>
    </row>
    <row r="49" spans="1:13" x14ac:dyDescent="0.25">
      <c r="A49" s="7" t="s">
        <v>13</v>
      </c>
      <c r="B49" s="8" t="s">
        <v>14</v>
      </c>
      <c r="C49" s="8" t="s">
        <v>123</v>
      </c>
      <c r="D49" s="9" t="s">
        <v>124</v>
      </c>
      <c r="E49" s="8" t="s">
        <v>125</v>
      </c>
      <c r="F49" s="10">
        <v>44203</v>
      </c>
      <c r="G49" s="8">
        <v>1</v>
      </c>
      <c r="H49" s="11" t="s">
        <v>18</v>
      </c>
      <c r="I49" s="11" t="s">
        <v>546</v>
      </c>
      <c r="J49" s="8">
        <v>1</v>
      </c>
      <c r="K49" s="8" t="s">
        <v>548</v>
      </c>
      <c r="L49" s="8">
        <v>4</v>
      </c>
      <c r="M49" s="13">
        <v>12</v>
      </c>
    </row>
    <row r="50" spans="1:13" x14ac:dyDescent="0.25">
      <c r="A50" s="7" t="s">
        <v>13</v>
      </c>
      <c r="B50" s="8" t="s">
        <v>14</v>
      </c>
      <c r="C50" s="8" t="s">
        <v>123</v>
      </c>
      <c r="D50" s="9" t="s">
        <v>126</v>
      </c>
      <c r="E50" s="8" t="s">
        <v>56</v>
      </c>
      <c r="F50" s="10">
        <v>44203</v>
      </c>
      <c r="G50" s="8">
        <v>1</v>
      </c>
      <c r="H50" s="11" t="s">
        <v>18</v>
      </c>
      <c r="I50" s="11" t="s">
        <v>546</v>
      </c>
      <c r="J50" s="8">
        <v>1</v>
      </c>
      <c r="K50" s="8" t="s">
        <v>560</v>
      </c>
      <c r="L50" s="8">
        <v>4</v>
      </c>
      <c r="M50" s="13">
        <v>12</v>
      </c>
    </row>
    <row r="51" spans="1:13" x14ac:dyDescent="0.25">
      <c r="A51" s="7" t="s">
        <v>13</v>
      </c>
      <c r="B51" s="8" t="s">
        <v>14</v>
      </c>
      <c r="C51" s="8" t="s">
        <v>116</v>
      </c>
      <c r="D51" s="9" t="s">
        <v>55</v>
      </c>
      <c r="E51" s="8" t="s">
        <v>56</v>
      </c>
      <c r="F51" s="10">
        <v>44203</v>
      </c>
      <c r="G51" s="8">
        <v>7</v>
      </c>
      <c r="H51" s="11" t="s">
        <v>18</v>
      </c>
      <c r="I51" s="11" t="s">
        <v>546</v>
      </c>
      <c r="J51" s="8">
        <v>7</v>
      </c>
      <c r="K51" s="8" t="s">
        <v>561</v>
      </c>
      <c r="L51" s="8">
        <v>3</v>
      </c>
      <c r="M51" s="13">
        <v>21</v>
      </c>
    </row>
    <row r="52" spans="1:13" x14ac:dyDescent="0.25">
      <c r="A52" s="7" t="s">
        <v>13</v>
      </c>
      <c r="B52" s="8" t="s">
        <v>19</v>
      </c>
      <c r="C52" s="8" t="s">
        <v>127</v>
      </c>
      <c r="D52" s="9" t="s">
        <v>97</v>
      </c>
      <c r="E52" s="8" t="s">
        <v>128</v>
      </c>
      <c r="F52" s="10">
        <v>44203</v>
      </c>
      <c r="G52" s="8">
        <v>2</v>
      </c>
      <c r="H52" s="11" t="s">
        <v>99</v>
      </c>
      <c r="I52" s="11" t="s">
        <v>546</v>
      </c>
      <c r="J52" s="8">
        <v>2</v>
      </c>
      <c r="K52" s="8" t="s">
        <v>557</v>
      </c>
      <c r="L52" s="8">
        <v>5.0999999999999996</v>
      </c>
      <c r="M52" s="13">
        <v>30.599999999999998</v>
      </c>
    </row>
    <row r="53" spans="1:13" x14ac:dyDescent="0.25">
      <c r="A53" s="7" t="s">
        <v>13</v>
      </c>
      <c r="B53" s="8" t="s">
        <v>19</v>
      </c>
      <c r="C53" s="8" t="s">
        <v>129</v>
      </c>
      <c r="D53" s="9" t="s">
        <v>130</v>
      </c>
      <c r="E53" s="8" t="s">
        <v>131</v>
      </c>
      <c r="F53" s="10">
        <v>44203</v>
      </c>
      <c r="G53" s="8">
        <v>3</v>
      </c>
      <c r="H53" s="11" t="s">
        <v>23</v>
      </c>
      <c r="I53" s="11" t="s">
        <v>546</v>
      </c>
      <c r="J53" s="8">
        <v>3</v>
      </c>
      <c r="K53" s="8" t="s">
        <v>556</v>
      </c>
      <c r="L53" s="8">
        <v>2.5</v>
      </c>
      <c r="M53" s="13">
        <v>22.5</v>
      </c>
    </row>
    <row r="54" spans="1:13" x14ac:dyDescent="0.25">
      <c r="A54" s="7" t="s">
        <v>13</v>
      </c>
      <c r="B54" s="8" t="s">
        <v>19</v>
      </c>
      <c r="C54" s="8" t="s">
        <v>132</v>
      </c>
      <c r="D54" s="9" t="s">
        <v>30</v>
      </c>
      <c r="E54" s="8" t="s">
        <v>31</v>
      </c>
      <c r="F54" s="10">
        <v>44204</v>
      </c>
      <c r="G54" s="8">
        <v>10</v>
      </c>
      <c r="H54" s="11" t="s">
        <v>23</v>
      </c>
      <c r="I54" s="11" t="s">
        <v>546</v>
      </c>
      <c r="J54" s="8">
        <v>10</v>
      </c>
      <c r="K54" s="8" t="s">
        <v>549</v>
      </c>
      <c r="L54" s="8">
        <v>6</v>
      </c>
      <c r="M54" s="13">
        <v>60</v>
      </c>
    </row>
    <row r="55" spans="1:13" x14ac:dyDescent="0.25">
      <c r="A55" s="7" t="s">
        <v>13</v>
      </c>
      <c r="B55" s="8" t="s">
        <v>19</v>
      </c>
      <c r="C55" s="8" t="s">
        <v>133</v>
      </c>
      <c r="D55" s="9" t="s">
        <v>134</v>
      </c>
      <c r="E55" s="8" t="s">
        <v>135</v>
      </c>
      <c r="F55" s="10">
        <v>44203</v>
      </c>
      <c r="G55" s="8">
        <v>12</v>
      </c>
      <c r="H55" s="11" t="s">
        <v>23</v>
      </c>
      <c r="I55" s="11" t="s">
        <v>546</v>
      </c>
      <c r="J55" s="8">
        <v>12</v>
      </c>
      <c r="K55" s="8" t="s">
        <v>558</v>
      </c>
      <c r="L55" s="8">
        <v>2</v>
      </c>
      <c r="M55" s="13">
        <v>24</v>
      </c>
    </row>
    <row r="56" spans="1:13" x14ac:dyDescent="0.25">
      <c r="A56" s="7" t="s">
        <v>13</v>
      </c>
      <c r="B56" s="8" t="s">
        <v>46</v>
      </c>
      <c r="C56" s="8" t="s">
        <v>136</v>
      </c>
      <c r="D56" s="9" t="s">
        <v>48</v>
      </c>
      <c r="E56" s="8" t="s">
        <v>137</v>
      </c>
      <c r="F56" s="10">
        <v>44204</v>
      </c>
      <c r="G56" s="8">
        <v>8</v>
      </c>
      <c r="H56" s="11" t="s">
        <v>50</v>
      </c>
      <c r="I56" s="11" t="s">
        <v>546</v>
      </c>
      <c r="J56" s="8">
        <v>8</v>
      </c>
      <c r="K56" s="8" t="s">
        <v>567</v>
      </c>
      <c r="L56" s="8">
        <v>2.5</v>
      </c>
      <c r="M56" s="13">
        <v>20</v>
      </c>
    </row>
    <row r="57" spans="1:13" x14ac:dyDescent="0.25">
      <c r="A57" s="7" t="s">
        <v>13</v>
      </c>
      <c r="B57" s="8" t="s">
        <v>46</v>
      </c>
      <c r="C57" s="8" t="s">
        <v>138</v>
      </c>
      <c r="D57" s="9" t="s">
        <v>139</v>
      </c>
      <c r="E57" s="8" t="s">
        <v>115</v>
      </c>
      <c r="F57" s="10">
        <v>44204</v>
      </c>
      <c r="G57" s="8">
        <v>5</v>
      </c>
      <c r="H57" s="11" t="s">
        <v>50</v>
      </c>
      <c r="I57" s="11" t="s">
        <v>546</v>
      </c>
      <c r="J57" s="8">
        <v>5</v>
      </c>
      <c r="K57" s="8" t="s">
        <v>548</v>
      </c>
      <c r="L57" s="8">
        <v>3</v>
      </c>
      <c r="M57" s="13">
        <v>15</v>
      </c>
    </row>
    <row r="58" spans="1:13" x14ac:dyDescent="0.25">
      <c r="A58" s="7" t="s">
        <v>13</v>
      </c>
      <c r="B58" s="8" t="s">
        <v>19</v>
      </c>
      <c r="C58" s="8" t="s">
        <v>87</v>
      </c>
      <c r="D58" s="9" t="s">
        <v>83</v>
      </c>
      <c r="E58" s="8" t="s">
        <v>31</v>
      </c>
      <c r="F58" s="10">
        <v>44207</v>
      </c>
      <c r="G58" s="8">
        <v>2</v>
      </c>
      <c r="H58" s="11" t="s">
        <v>42</v>
      </c>
      <c r="I58" s="11" t="s">
        <v>546</v>
      </c>
      <c r="J58" s="8">
        <v>2</v>
      </c>
      <c r="K58" s="8" t="s">
        <v>561</v>
      </c>
      <c r="L58" s="8">
        <v>3</v>
      </c>
      <c r="M58" s="13">
        <v>18</v>
      </c>
    </row>
    <row r="59" spans="1:13" x14ac:dyDescent="0.25">
      <c r="A59" s="7" t="s">
        <v>13</v>
      </c>
      <c r="B59" s="8" t="s">
        <v>19</v>
      </c>
      <c r="C59" s="8" t="s">
        <v>140</v>
      </c>
      <c r="D59" s="9" t="s">
        <v>141</v>
      </c>
      <c r="E59" s="8" t="s">
        <v>31</v>
      </c>
      <c r="F59" s="10">
        <v>44207</v>
      </c>
      <c r="G59" s="8">
        <v>3</v>
      </c>
      <c r="H59" s="11" t="s">
        <v>42</v>
      </c>
      <c r="I59" s="11" t="s">
        <v>546</v>
      </c>
      <c r="J59" s="8">
        <v>3</v>
      </c>
      <c r="K59" s="8" t="s">
        <v>558</v>
      </c>
      <c r="L59" s="8">
        <v>2.5</v>
      </c>
      <c r="M59" s="13">
        <v>22.5</v>
      </c>
    </row>
    <row r="60" spans="1:13" x14ac:dyDescent="0.25">
      <c r="A60" s="7" t="s">
        <v>13</v>
      </c>
      <c r="B60" s="8" t="s">
        <v>19</v>
      </c>
      <c r="C60" s="8" t="s">
        <v>136</v>
      </c>
      <c r="D60" s="9" t="s">
        <v>142</v>
      </c>
      <c r="E60" s="8" t="s">
        <v>89</v>
      </c>
      <c r="F60" s="10">
        <v>44207</v>
      </c>
      <c r="G60" s="8">
        <v>8</v>
      </c>
      <c r="H60" s="11" t="s">
        <v>23</v>
      </c>
      <c r="I60" s="11" t="s">
        <v>546</v>
      </c>
      <c r="J60" s="8">
        <v>8</v>
      </c>
      <c r="K60" s="8" t="s">
        <v>556</v>
      </c>
      <c r="L60" s="8">
        <v>2.5</v>
      </c>
      <c r="M60" s="13">
        <v>20</v>
      </c>
    </row>
    <row r="61" spans="1:13" x14ac:dyDescent="0.25">
      <c r="A61" s="7" t="s">
        <v>13</v>
      </c>
      <c r="B61" s="8" t="s">
        <v>19</v>
      </c>
      <c r="C61" s="8" t="s">
        <v>136</v>
      </c>
      <c r="D61" s="9" t="s">
        <v>143</v>
      </c>
      <c r="E61" s="8" t="s">
        <v>31</v>
      </c>
      <c r="F61" s="10">
        <v>44207</v>
      </c>
      <c r="G61" s="8">
        <v>10</v>
      </c>
      <c r="H61" s="11" t="s">
        <v>23</v>
      </c>
      <c r="I61" s="11" t="s">
        <v>546</v>
      </c>
      <c r="J61" s="8">
        <v>10</v>
      </c>
      <c r="K61" s="8" t="s">
        <v>547</v>
      </c>
      <c r="L61" s="8">
        <v>2.5</v>
      </c>
      <c r="M61" s="13">
        <v>25</v>
      </c>
    </row>
    <row r="62" spans="1:13" x14ac:dyDescent="0.25">
      <c r="A62" s="7" t="s">
        <v>13</v>
      </c>
      <c r="B62" s="8" t="s">
        <v>46</v>
      </c>
      <c r="C62" s="8" t="s">
        <v>144</v>
      </c>
      <c r="D62" s="9" t="s">
        <v>97</v>
      </c>
      <c r="E62" s="8" t="s">
        <v>145</v>
      </c>
      <c r="F62" s="10">
        <v>44208</v>
      </c>
      <c r="G62" s="8">
        <v>2</v>
      </c>
      <c r="H62" s="11" t="s">
        <v>99</v>
      </c>
      <c r="I62" s="11" t="s">
        <v>546</v>
      </c>
      <c r="J62" s="8">
        <v>2</v>
      </c>
      <c r="K62" s="8" t="s">
        <v>550</v>
      </c>
      <c r="L62" s="8">
        <v>2</v>
      </c>
      <c r="M62" s="13">
        <v>12</v>
      </c>
    </row>
    <row r="63" spans="1:13" x14ac:dyDescent="0.25">
      <c r="A63" s="7" t="s">
        <v>13</v>
      </c>
      <c r="B63" s="8" t="s">
        <v>19</v>
      </c>
      <c r="C63" s="8" t="s">
        <v>146</v>
      </c>
      <c r="D63" s="9" t="s">
        <v>30</v>
      </c>
      <c r="E63" s="8" t="s">
        <v>44</v>
      </c>
      <c r="F63" s="10">
        <v>44208</v>
      </c>
      <c r="G63" s="8">
        <v>10</v>
      </c>
      <c r="H63" s="11" t="s">
        <v>23</v>
      </c>
      <c r="I63" s="11" t="s">
        <v>546</v>
      </c>
      <c r="J63" s="8">
        <v>9</v>
      </c>
      <c r="K63" s="8" t="s">
        <v>555</v>
      </c>
      <c r="L63" s="8">
        <v>3</v>
      </c>
      <c r="M63" s="13">
        <v>27</v>
      </c>
    </row>
    <row r="64" spans="1:13" x14ac:dyDescent="0.25">
      <c r="A64" s="7" t="s">
        <v>13</v>
      </c>
      <c r="B64" s="8" t="s">
        <v>147</v>
      </c>
      <c r="C64" s="8" t="s">
        <v>148</v>
      </c>
      <c r="D64" s="9" t="s">
        <v>149</v>
      </c>
      <c r="E64" s="8" t="s">
        <v>150</v>
      </c>
      <c r="F64" s="10">
        <v>44204</v>
      </c>
      <c r="G64" s="8">
        <v>4</v>
      </c>
      <c r="H64" s="11" t="s">
        <v>151</v>
      </c>
      <c r="I64" s="11" t="s">
        <v>546</v>
      </c>
      <c r="J64" s="8">
        <v>4</v>
      </c>
      <c r="K64" s="8" t="s">
        <v>565</v>
      </c>
      <c r="L64" s="8">
        <v>5</v>
      </c>
      <c r="M64" s="13">
        <v>20</v>
      </c>
    </row>
    <row r="65" spans="1:13" x14ac:dyDescent="0.25">
      <c r="A65" s="7" t="s">
        <v>13</v>
      </c>
      <c r="B65" s="8" t="s">
        <v>147</v>
      </c>
      <c r="C65" s="8" t="s">
        <v>152</v>
      </c>
      <c r="D65" s="9" t="s">
        <v>153</v>
      </c>
      <c r="E65" s="8" t="s">
        <v>154</v>
      </c>
      <c r="F65" s="10">
        <v>44205</v>
      </c>
      <c r="G65" s="8">
        <v>1</v>
      </c>
      <c r="H65" s="11" t="s">
        <v>155</v>
      </c>
      <c r="I65" s="11" t="s">
        <v>546</v>
      </c>
      <c r="J65" s="8">
        <v>1</v>
      </c>
      <c r="K65" s="8" t="s">
        <v>553</v>
      </c>
      <c r="L65" s="8">
        <v>10</v>
      </c>
      <c r="M65" s="13">
        <v>30</v>
      </c>
    </row>
    <row r="66" spans="1:13" x14ac:dyDescent="0.25">
      <c r="A66" s="7" t="s">
        <v>13</v>
      </c>
      <c r="B66" s="8" t="s">
        <v>46</v>
      </c>
      <c r="C66" s="8" t="s">
        <v>156</v>
      </c>
      <c r="D66" s="9" t="s">
        <v>48</v>
      </c>
      <c r="E66" s="8" t="s">
        <v>49</v>
      </c>
      <c r="F66" s="10">
        <v>44207</v>
      </c>
      <c r="G66" s="8">
        <v>8</v>
      </c>
      <c r="H66" s="11" t="s">
        <v>50</v>
      </c>
      <c r="I66" s="11" t="s">
        <v>546</v>
      </c>
      <c r="J66" s="8">
        <v>8</v>
      </c>
      <c r="K66" s="8" t="s">
        <v>557</v>
      </c>
      <c r="L66" s="8">
        <v>3</v>
      </c>
      <c r="M66" s="13">
        <v>24</v>
      </c>
    </row>
    <row r="67" spans="1:13" x14ac:dyDescent="0.25">
      <c r="A67" s="7" t="s">
        <v>13</v>
      </c>
      <c r="B67" s="8" t="s">
        <v>19</v>
      </c>
      <c r="C67" s="8" t="s">
        <v>157</v>
      </c>
      <c r="D67" s="9" t="s">
        <v>158</v>
      </c>
      <c r="E67" s="8" t="s">
        <v>135</v>
      </c>
      <c r="F67" s="10">
        <v>44207</v>
      </c>
      <c r="G67" s="8">
        <v>12</v>
      </c>
      <c r="H67" s="11" t="s">
        <v>23</v>
      </c>
      <c r="I67" s="11" t="s">
        <v>546</v>
      </c>
      <c r="J67" s="8">
        <v>12</v>
      </c>
      <c r="K67" s="8" t="s">
        <v>558</v>
      </c>
      <c r="L67" s="8">
        <v>2.5</v>
      </c>
      <c r="M67" s="13">
        <v>30</v>
      </c>
    </row>
    <row r="68" spans="1:13" x14ac:dyDescent="0.25">
      <c r="A68" s="7" t="s">
        <v>13</v>
      </c>
      <c r="B68" s="8" t="s">
        <v>46</v>
      </c>
      <c r="C68" s="8" t="s">
        <v>159</v>
      </c>
      <c r="D68" s="9" t="s">
        <v>48</v>
      </c>
      <c r="E68" s="8" t="s">
        <v>49</v>
      </c>
      <c r="F68" s="10">
        <v>44207</v>
      </c>
      <c r="G68" s="8">
        <v>8</v>
      </c>
      <c r="H68" s="11" t="s">
        <v>50</v>
      </c>
      <c r="I68" s="11" t="s">
        <v>546</v>
      </c>
      <c r="J68" s="8">
        <v>8</v>
      </c>
      <c r="K68" s="8" t="s">
        <v>560</v>
      </c>
      <c r="L68" s="8">
        <v>3</v>
      </c>
      <c r="M68" s="13">
        <v>24</v>
      </c>
    </row>
    <row r="69" spans="1:13" x14ac:dyDescent="0.25">
      <c r="A69" s="7" t="s">
        <v>13</v>
      </c>
      <c r="B69" s="8" t="s">
        <v>46</v>
      </c>
      <c r="C69" s="8" t="s">
        <v>138</v>
      </c>
      <c r="D69" s="9" t="s">
        <v>160</v>
      </c>
      <c r="E69" s="8" t="s">
        <v>161</v>
      </c>
      <c r="F69" s="10">
        <v>44207</v>
      </c>
      <c r="G69" s="8">
        <v>3</v>
      </c>
      <c r="H69" s="11" t="s">
        <v>50</v>
      </c>
      <c r="I69" s="11" t="s">
        <v>546</v>
      </c>
      <c r="J69" s="8">
        <v>3</v>
      </c>
      <c r="K69" s="8" t="s">
        <v>551</v>
      </c>
      <c r="L69" s="8">
        <v>3</v>
      </c>
      <c r="M69" s="13">
        <v>27</v>
      </c>
    </row>
    <row r="70" spans="1:13" x14ac:dyDescent="0.25">
      <c r="A70" s="7" t="s">
        <v>13</v>
      </c>
      <c r="B70" s="8" t="s">
        <v>19</v>
      </c>
      <c r="C70" s="8" t="s">
        <v>162</v>
      </c>
      <c r="D70" s="9" t="s">
        <v>30</v>
      </c>
      <c r="E70" s="8" t="s">
        <v>31</v>
      </c>
      <c r="F70" s="10">
        <v>44207</v>
      </c>
      <c r="G70" s="8">
        <v>10</v>
      </c>
      <c r="H70" s="11" t="s">
        <v>23</v>
      </c>
      <c r="I70" s="11" t="s">
        <v>546</v>
      </c>
      <c r="J70" s="8">
        <v>10</v>
      </c>
      <c r="K70" s="8" t="s">
        <v>567</v>
      </c>
      <c r="L70" s="8">
        <v>3</v>
      </c>
      <c r="M70" s="13">
        <v>30</v>
      </c>
    </row>
    <row r="71" spans="1:13" x14ac:dyDescent="0.25">
      <c r="A71" s="7" t="s">
        <v>13</v>
      </c>
      <c r="B71" s="8" t="s">
        <v>19</v>
      </c>
      <c r="C71" s="8" t="s">
        <v>163</v>
      </c>
      <c r="D71" s="9" t="s">
        <v>30</v>
      </c>
      <c r="E71" s="8" t="s">
        <v>31</v>
      </c>
      <c r="F71" s="10">
        <v>44207</v>
      </c>
      <c r="G71" s="8">
        <v>10</v>
      </c>
      <c r="H71" s="11" t="s">
        <v>23</v>
      </c>
      <c r="I71" s="11" t="s">
        <v>546</v>
      </c>
      <c r="J71" s="8">
        <v>10</v>
      </c>
      <c r="K71" s="8" t="s">
        <v>549</v>
      </c>
      <c r="L71" s="8">
        <v>4.0999999999999996</v>
      </c>
      <c r="M71" s="13">
        <v>41</v>
      </c>
    </row>
    <row r="72" spans="1:13" x14ac:dyDescent="0.25">
      <c r="A72" s="7" t="s">
        <v>13</v>
      </c>
      <c r="B72" s="8" t="s">
        <v>46</v>
      </c>
      <c r="C72" s="8" t="s">
        <v>164</v>
      </c>
      <c r="D72" s="9" t="s">
        <v>48</v>
      </c>
      <c r="E72" s="8" t="s">
        <v>165</v>
      </c>
      <c r="F72" s="10">
        <v>44207</v>
      </c>
      <c r="G72" s="8">
        <v>8</v>
      </c>
      <c r="H72" s="11" t="s">
        <v>50</v>
      </c>
      <c r="I72" s="11" t="s">
        <v>546</v>
      </c>
      <c r="J72" s="8">
        <v>8</v>
      </c>
      <c r="K72" s="8" t="s">
        <v>567</v>
      </c>
      <c r="L72" s="8">
        <v>5</v>
      </c>
      <c r="M72" s="13">
        <v>40</v>
      </c>
    </row>
    <row r="73" spans="1:13" x14ac:dyDescent="0.25">
      <c r="A73" s="7" t="s">
        <v>13</v>
      </c>
      <c r="B73" s="8" t="s">
        <v>46</v>
      </c>
      <c r="C73" s="8" t="s">
        <v>166</v>
      </c>
      <c r="D73" s="9" t="s">
        <v>48</v>
      </c>
      <c r="E73" s="8" t="s">
        <v>165</v>
      </c>
      <c r="F73" s="10">
        <v>44207</v>
      </c>
      <c r="G73" s="8">
        <v>8</v>
      </c>
      <c r="H73" s="11" t="s">
        <v>50</v>
      </c>
      <c r="I73" s="11" t="s">
        <v>546</v>
      </c>
      <c r="J73" s="8">
        <v>8</v>
      </c>
      <c r="K73" s="8" t="s">
        <v>557</v>
      </c>
      <c r="L73" s="8">
        <v>6</v>
      </c>
      <c r="M73" s="13">
        <v>48</v>
      </c>
    </row>
    <row r="74" spans="1:13" x14ac:dyDescent="0.25">
      <c r="A74" s="7" t="s">
        <v>13</v>
      </c>
      <c r="B74" s="8" t="s">
        <v>14</v>
      </c>
      <c r="C74" s="8" t="s">
        <v>167</v>
      </c>
      <c r="D74" s="9" t="s">
        <v>122</v>
      </c>
      <c r="E74" s="8" t="s">
        <v>17</v>
      </c>
      <c r="F74" s="10">
        <v>44205</v>
      </c>
      <c r="G74" s="8">
        <v>9</v>
      </c>
      <c r="H74" s="11" t="s">
        <v>18</v>
      </c>
      <c r="I74" s="11" t="s">
        <v>546</v>
      </c>
      <c r="J74" s="8">
        <v>9</v>
      </c>
      <c r="K74" s="8" t="s">
        <v>557</v>
      </c>
      <c r="L74" s="8">
        <v>4</v>
      </c>
      <c r="M74" s="13">
        <v>36</v>
      </c>
    </row>
    <row r="75" spans="1:13" x14ac:dyDescent="0.25">
      <c r="A75" s="7" t="s">
        <v>13</v>
      </c>
      <c r="B75" s="8" t="s">
        <v>14</v>
      </c>
      <c r="C75" s="8" t="s">
        <v>167</v>
      </c>
      <c r="D75" s="9" t="s">
        <v>168</v>
      </c>
      <c r="E75" s="8" t="s">
        <v>56</v>
      </c>
      <c r="F75" s="10">
        <v>44205</v>
      </c>
      <c r="G75" s="8">
        <v>9</v>
      </c>
      <c r="H75" s="11" t="s">
        <v>18</v>
      </c>
      <c r="I75" s="11" t="s">
        <v>546</v>
      </c>
      <c r="J75" s="8">
        <v>9</v>
      </c>
      <c r="K75" s="8" t="s">
        <v>569</v>
      </c>
      <c r="L75" s="8">
        <v>4</v>
      </c>
      <c r="M75" s="13">
        <v>36</v>
      </c>
    </row>
    <row r="76" spans="1:13" x14ac:dyDescent="0.25">
      <c r="A76" s="7" t="s">
        <v>13</v>
      </c>
      <c r="B76" s="8" t="s">
        <v>14</v>
      </c>
      <c r="C76" s="8" t="s">
        <v>169</v>
      </c>
      <c r="D76" s="9" t="s">
        <v>170</v>
      </c>
      <c r="E76" s="8" t="s">
        <v>17</v>
      </c>
      <c r="F76" s="10">
        <v>44205</v>
      </c>
      <c r="G76" s="8">
        <v>7</v>
      </c>
      <c r="H76" s="11" t="s">
        <v>18</v>
      </c>
      <c r="I76" s="11" t="s">
        <v>546</v>
      </c>
      <c r="J76" s="8">
        <v>7</v>
      </c>
      <c r="K76" s="8" t="s">
        <v>568</v>
      </c>
      <c r="L76" s="8">
        <v>3</v>
      </c>
      <c r="M76" s="13">
        <v>21</v>
      </c>
    </row>
    <row r="77" spans="1:13" x14ac:dyDescent="0.25">
      <c r="A77" s="7" t="s">
        <v>13</v>
      </c>
      <c r="B77" s="8" t="s">
        <v>14</v>
      </c>
      <c r="C77" s="8" t="s">
        <v>169</v>
      </c>
      <c r="D77" s="9" t="s">
        <v>68</v>
      </c>
      <c r="E77" s="8" t="s">
        <v>59</v>
      </c>
      <c r="F77" s="10">
        <v>44205</v>
      </c>
      <c r="G77" s="8">
        <v>8</v>
      </c>
      <c r="H77" s="11" t="s">
        <v>18</v>
      </c>
      <c r="I77" s="11" t="s">
        <v>546</v>
      </c>
      <c r="J77" s="8">
        <v>8</v>
      </c>
      <c r="K77" s="8" t="s">
        <v>547</v>
      </c>
      <c r="L77" s="8">
        <v>3</v>
      </c>
      <c r="M77" s="13">
        <v>24</v>
      </c>
    </row>
    <row r="78" spans="1:13" x14ac:dyDescent="0.25">
      <c r="A78" s="7" t="s">
        <v>13</v>
      </c>
      <c r="B78" s="8" t="s">
        <v>14</v>
      </c>
      <c r="C78" s="8" t="s">
        <v>169</v>
      </c>
      <c r="D78" s="9" t="s">
        <v>55</v>
      </c>
      <c r="E78" s="8" t="s">
        <v>56</v>
      </c>
      <c r="F78" s="10">
        <v>44205</v>
      </c>
      <c r="G78" s="8">
        <v>7</v>
      </c>
      <c r="H78" s="11" t="s">
        <v>18</v>
      </c>
      <c r="I78" s="11" t="s">
        <v>546</v>
      </c>
      <c r="J78" s="8">
        <v>7</v>
      </c>
      <c r="K78" s="8" t="s">
        <v>570</v>
      </c>
      <c r="L78" s="8">
        <v>3</v>
      </c>
      <c r="M78" s="13">
        <v>21</v>
      </c>
    </row>
    <row r="79" spans="1:13" x14ac:dyDescent="0.25">
      <c r="A79" s="7" t="s">
        <v>13</v>
      </c>
      <c r="B79" s="8" t="s">
        <v>14</v>
      </c>
      <c r="C79" s="8" t="s">
        <v>171</v>
      </c>
      <c r="D79" s="9" t="s">
        <v>170</v>
      </c>
      <c r="E79" s="8" t="s">
        <v>17</v>
      </c>
      <c r="F79" s="10">
        <v>44205</v>
      </c>
      <c r="G79" s="8">
        <v>7</v>
      </c>
      <c r="H79" s="11" t="s">
        <v>18</v>
      </c>
      <c r="I79" s="11" t="s">
        <v>546</v>
      </c>
      <c r="J79" s="8">
        <v>7</v>
      </c>
      <c r="K79" s="8" t="s">
        <v>556</v>
      </c>
      <c r="L79" s="8">
        <v>4</v>
      </c>
      <c r="M79" s="13">
        <v>28</v>
      </c>
    </row>
    <row r="80" spans="1:13" x14ac:dyDescent="0.25">
      <c r="A80" s="7" t="s">
        <v>13</v>
      </c>
      <c r="B80" s="8" t="s">
        <v>14</v>
      </c>
      <c r="C80" s="8" t="s">
        <v>171</v>
      </c>
      <c r="D80" s="9" t="s">
        <v>55</v>
      </c>
      <c r="E80" s="8" t="s">
        <v>56</v>
      </c>
      <c r="F80" s="10">
        <v>44205</v>
      </c>
      <c r="G80" s="8">
        <v>7</v>
      </c>
      <c r="H80" s="11" t="s">
        <v>18</v>
      </c>
      <c r="I80" s="11" t="s">
        <v>546</v>
      </c>
      <c r="J80" s="8">
        <v>7</v>
      </c>
      <c r="K80" s="8" t="s">
        <v>561</v>
      </c>
      <c r="L80" s="8">
        <v>4</v>
      </c>
      <c r="M80" s="13">
        <v>28</v>
      </c>
    </row>
    <row r="81" spans="1:13" x14ac:dyDescent="0.25">
      <c r="A81" s="7" t="s">
        <v>13</v>
      </c>
      <c r="B81" s="8" t="s">
        <v>14</v>
      </c>
      <c r="C81" s="8" t="s">
        <v>171</v>
      </c>
      <c r="D81" s="9" t="s">
        <v>68</v>
      </c>
      <c r="E81" s="8" t="s">
        <v>59</v>
      </c>
      <c r="F81" s="10">
        <v>44205</v>
      </c>
      <c r="G81" s="8">
        <v>8</v>
      </c>
      <c r="H81" s="11" t="s">
        <v>18</v>
      </c>
      <c r="I81" s="11" t="s">
        <v>546</v>
      </c>
      <c r="J81" s="8">
        <v>8</v>
      </c>
      <c r="K81" s="8" t="s">
        <v>560</v>
      </c>
      <c r="L81" s="8">
        <v>4</v>
      </c>
      <c r="M81" s="13">
        <v>32</v>
      </c>
    </row>
    <row r="82" spans="1:13" x14ac:dyDescent="0.25">
      <c r="A82" s="7" t="s">
        <v>13</v>
      </c>
      <c r="B82" s="8" t="s">
        <v>14</v>
      </c>
      <c r="C82" s="8" t="s">
        <v>172</v>
      </c>
      <c r="D82" s="9" t="s">
        <v>173</v>
      </c>
      <c r="E82" s="8" t="s">
        <v>17</v>
      </c>
      <c r="F82" s="10">
        <v>44205</v>
      </c>
      <c r="G82" s="8">
        <v>3</v>
      </c>
      <c r="H82" s="11" t="s">
        <v>18</v>
      </c>
      <c r="I82" s="11" t="s">
        <v>546</v>
      </c>
      <c r="J82" s="8">
        <v>3</v>
      </c>
      <c r="K82" s="8" t="s">
        <v>558</v>
      </c>
      <c r="L82" s="8">
        <v>3</v>
      </c>
      <c r="M82" s="13">
        <v>27</v>
      </c>
    </row>
    <row r="83" spans="1:13" x14ac:dyDescent="0.25">
      <c r="A83" s="7" t="s">
        <v>13</v>
      </c>
      <c r="B83" s="8" t="s">
        <v>46</v>
      </c>
      <c r="C83" s="8" t="s">
        <v>174</v>
      </c>
      <c r="D83" s="9" t="s">
        <v>175</v>
      </c>
      <c r="E83" s="8" t="s">
        <v>105</v>
      </c>
      <c r="F83" s="10">
        <v>44207</v>
      </c>
      <c r="G83" s="8">
        <v>7</v>
      </c>
      <c r="H83" s="11" t="s">
        <v>50</v>
      </c>
      <c r="I83" s="11" t="s">
        <v>546</v>
      </c>
      <c r="J83" s="8">
        <v>7</v>
      </c>
      <c r="K83" s="8" t="s">
        <v>567</v>
      </c>
      <c r="L83" s="8">
        <v>2.1</v>
      </c>
      <c r="M83" s="13">
        <v>14.700000000000001</v>
      </c>
    </row>
    <row r="84" spans="1:13" x14ac:dyDescent="0.25">
      <c r="A84" s="7" t="s">
        <v>13</v>
      </c>
      <c r="B84" s="8" t="s">
        <v>14</v>
      </c>
      <c r="C84" s="8" t="s">
        <v>176</v>
      </c>
      <c r="D84" s="9" t="s">
        <v>68</v>
      </c>
      <c r="E84" s="8" t="s">
        <v>59</v>
      </c>
      <c r="F84" s="10">
        <v>44207</v>
      </c>
      <c r="G84" s="8">
        <v>8</v>
      </c>
      <c r="H84" s="11" t="s">
        <v>18</v>
      </c>
      <c r="I84" s="11" t="s">
        <v>546</v>
      </c>
      <c r="J84" s="8">
        <v>8</v>
      </c>
      <c r="K84" s="8" t="s">
        <v>548</v>
      </c>
      <c r="L84" s="8">
        <v>3</v>
      </c>
      <c r="M84" s="13">
        <v>24</v>
      </c>
    </row>
    <row r="85" spans="1:13" x14ac:dyDescent="0.25">
      <c r="A85" s="7" t="s">
        <v>13</v>
      </c>
      <c r="B85" s="8" t="s">
        <v>14</v>
      </c>
      <c r="C85" s="8" t="s">
        <v>177</v>
      </c>
      <c r="D85" s="9" t="s">
        <v>68</v>
      </c>
      <c r="E85" s="8" t="s">
        <v>59</v>
      </c>
      <c r="F85" s="10">
        <v>44207</v>
      </c>
      <c r="G85" s="8">
        <v>8</v>
      </c>
      <c r="H85" s="11" t="s">
        <v>18</v>
      </c>
      <c r="I85" s="11" t="s">
        <v>546</v>
      </c>
      <c r="J85" s="8">
        <v>8</v>
      </c>
      <c r="K85" s="8" t="s">
        <v>567</v>
      </c>
      <c r="L85" s="8">
        <v>3</v>
      </c>
      <c r="M85" s="13">
        <v>24</v>
      </c>
    </row>
    <row r="86" spans="1:13" x14ac:dyDescent="0.25">
      <c r="A86" s="7" t="s">
        <v>13</v>
      </c>
      <c r="B86" s="8" t="s">
        <v>14</v>
      </c>
      <c r="C86" s="8" t="s">
        <v>177</v>
      </c>
      <c r="D86" s="9" t="s">
        <v>170</v>
      </c>
      <c r="E86" s="8" t="s">
        <v>17</v>
      </c>
      <c r="F86" s="10">
        <v>44207</v>
      </c>
      <c r="G86" s="8">
        <v>7</v>
      </c>
      <c r="H86" s="11" t="s">
        <v>18</v>
      </c>
      <c r="I86" s="11" t="s">
        <v>546</v>
      </c>
      <c r="J86" s="8">
        <v>7</v>
      </c>
      <c r="K86" s="8" t="s">
        <v>566</v>
      </c>
      <c r="L86" s="8">
        <v>3</v>
      </c>
      <c r="M86" s="13">
        <v>21</v>
      </c>
    </row>
    <row r="87" spans="1:13" x14ac:dyDescent="0.25">
      <c r="A87" s="7" t="s">
        <v>13</v>
      </c>
      <c r="B87" s="8" t="s">
        <v>14</v>
      </c>
      <c r="C87" s="8" t="s">
        <v>177</v>
      </c>
      <c r="D87" s="9" t="s">
        <v>55</v>
      </c>
      <c r="E87" s="8" t="s">
        <v>56</v>
      </c>
      <c r="F87" s="10">
        <v>44207</v>
      </c>
      <c r="G87" s="8">
        <v>7</v>
      </c>
      <c r="H87" s="11" t="s">
        <v>18</v>
      </c>
      <c r="I87" s="11" t="s">
        <v>546</v>
      </c>
      <c r="J87" s="8">
        <v>7</v>
      </c>
      <c r="K87" s="8" t="s">
        <v>556</v>
      </c>
      <c r="L87" s="8">
        <v>3</v>
      </c>
      <c r="M87" s="13">
        <v>21</v>
      </c>
    </row>
    <row r="88" spans="1:13" x14ac:dyDescent="0.25">
      <c r="A88" s="7" t="s">
        <v>13</v>
      </c>
      <c r="B88" s="8" t="s">
        <v>14</v>
      </c>
      <c r="C88" s="8" t="s">
        <v>176</v>
      </c>
      <c r="D88" s="9" t="s">
        <v>178</v>
      </c>
      <c r="E88" s="8" t="s">
        <v>56</v>
      </c>
      <c r="F88" s="10">
        <v>44207</v>
      </c>
      <c r="G88" s="8">
        <v>6</v>
      </c>
      <c r="H88" s="11" t="s">
        <v>18</v>
      </c>
      <c r="I88" s="11" t="s">
        <v>546</v>
      </c>
      <c r="J88" s="8">
        <v>6</v>
      </c>
      <c r="K88" s="8" t="s">
        <v>567</v>
      </c>
      <c r="L88" s="8">
        <v>3</v>
      </c>
      <c r="M88" s="13">
        <v>18</v>
      </c>
    </row>
    <row r="89" spans="1:13" x14ac:dyDescent="0.25">
      <c r="A89" s="7" t="s">
        <v>13</v>
      </c>
      <c r="B89" s="8" t="s">
        <v>14</v>
      </c>
      <c r="C89" s="8" t="s">
        <v>176</v>
      </c>
      <c r="D89" s="9" t="s">
        <v>179</v>
      </c>
      <c r="E89" s="8" t="s">
        <v>17</v>
      </c>
      <c r="F89" s="10">
        <v>44207</v>
      </c>
      <c r="G89" s="8">
        <v>8</v>
      </c>
      <c r="H89" s="11" t="s">
        <v>18</v>
      </c>
      <c r="I89" s="11" t="s">
        <v>546</v>
      </c>
      <c r="J89" s="8">
        <v>8</v>
      </c>
      <c r="K89" s="8" t="s">
        <v>563</v>
      </c>
      <c r="L89" s="8">
        <v>3</v>
      </c>
      <c r="M89" s="13">
        <v>24</v>
      </c>
    </row>
    <row r="90" spans="1:13" x14ac:dyDescent="0.25">
      <c r="A90" s="7" t="s">
        <v>13</v>
      </c>
      <c r="B90" s="8" t="s">
        <v>19</v>
      </c>
      <c r="C90" s="8" t="s">
        <v>180</v>
      </c>
      <c r="D90" s="9" t="s">
        <v>30</v>
      </c>
      <c r="E90" s="8" t="s">
        <v>44</v>
      </c>
      <c r="F90" s="10">
        <v>44202</v>
      </c>
      <c r="G90" s="8">
        <v>10</v>
      </c>
      <c r="H90" s="11" t="s">
        <v>23</v>
      </c>
      <c r="I90" s="11" t="s">
        <v>546</v>
      </c>
      <c r="J90" s="8">
        <v>10</v>
      </c>
      <c r="K90" s="8" t="s">
        <v>555</v>
      </c>
      <c r="L90" s="8">
        <v>2</v>
      </c>
      <c r="M90" s="13">
        <v>20</v>
      </c>
    </row>
    <row r="91" spans="1:13" x14ac:dyDescent="0.25">
      <c r="A91" s="7" t="s">
        <v>13</v>
      </c>
      <c r="B91" s="8" t="s">
        <v>19</v>
      </c>
      <c r="C91" s="8" t="s">
        <v>181</v>
      </c>
      <c r="D91" s="9" t="s">
        <v>182</v>
      </c>
      <c r="E91" s="8" t="s">
        <v>183</v>
      </c>
      <c r="F91" s="10">
        <v>44202</v>
      </c>
      <c r="G91" s="8">
        <v>6</v>
      </c>
      <c r="H91" s="11" t="s">
        <v>76</v>
      </c>
      <c r="I91" s="11" t="s">
        <v>546</v>
      </c>
      <c r="J91" s="8">
        <v>6</v>
      </c>
      <c r="K91" s="8" t="s">
        <v>552</v>
      </c>
      <c r="L91" s="8">
        <v>3.5</v>
      </c>
      <c r="M91" s="13">
        <v>21</v>
      </c>
    </row>
    <row r="92" spans="1:13" x14ac:dyDescent="0.25">
      <c r="A92" s="7" t="s">
        <v>13</v>
      </c>
      <c r="B92" s="8" t="s">
        <v>19</v>
      </c>
      <c r="C92" s="8" t="s">
        <v>184</v>
      </c>
      <c r="D92" s="9" t="s">
        <v>185</v>
      </c>
      <c r="E92" s="8" t="s">
        <v>186</v>
      </c>
      <c r="F92" s="10">
        <v>44202</v>
      </c>
      <c r="G92" s="8">
        <v>13</v>
      </c>
      <c r="H92" s="11" t="s">
        <v>76</v>
      </c>
      <c r="I92" s="11" t="s">
        <v>546</v>
      </c>
      <c r="J92" s="8">
        <v>13</v>
      </c>
      <c r="K92" s="8" t="s">
        <v>572</v>
      </c>
      <c r="L92" s="8">
        <v>6</v>
      </c>
      <c r="M92" s="13">
        <v>78</v>
      </c>
    </row>
    <row r="93" spans="1:13" x14ac:dyDescent="0.25">
      <c r="A93" s="7" t="s">
        <v>13</v>
      </c>
      <c r="B93" s="8" t="s">
        <v>19</v>
      </c>
      <c r="C93" s="8" t="s">
        <v>187</v>
      </c>
      <c r="D93" s="9" t="s">
        <v>30</v>
      </c>
      <c r="E93" s="8" t="s">
        <v>31</v>
      </c>
      <c r="F93" s="10">
        <v>44202</v>
      </c>
      <c r="G93" s="8">
        <v>10</v>
      </c>
      <c r="H93" s="11" t="s">
        <v>23</v>
      </c>
      <c r="I93" s="11" t="s">
        <v>546</v>
      </c>
      <c r="J93" s="8">
        <v>10</v>
      </c>
      <c r="K93" s="8" t="s">
        <v>571</v>
      </c>
      <c r="L93" s="8">
        <v>2.5</v>
      </c>
      <c r="M93" s="13">
        <v>25</v>
      </c>
    </row>
    <row r="94" spans="1:13" x14ac:dyDescent="0.25">
      <c r="A94" s="7" t="s">
        <v>13</v>
      </c>
      <c r="B94" s="8" t="s">
        <v>19</v>
      </c>
      <c r="C94" s="8" t="s">
        <v>187</v>
      </c>
      <c r="D94" s="9" t="s">
        <v>30</v>
      </c>
      <c r="E94" s="8" t="s">
        <v>44</v>
      </c>
      <c r="F94" s="10">
        <v>44202</v>
      </c>
      <c r="G94" s="8">
        <v>10</v>
      </c>
      <c r="H94" s="11" t="s">
        <v>23</v>
      </c>
      <c r="I94" s="11" t="s">
        <v>546</v>
      </c>
      <c r="J94" s="8">
        <v>9</v>
      </c>
      <c r="K94" s="8" t="s">
        <v>573</v>
      </c>
      <c r="L94" s="8">
        <v>2.5</v>
      </c>
      <c r="M94" s="13">
        <v>22.5</v>
      </c>
    </row>
    <row r="95" spans="1:13" x14ac:dyDescent="0.25">
      <c r="A95" s="7" t="s">
        <v>13</v>
      </c>
      <c r="B95" s="8" t="s">
        <v>19</v>
      </c>
      <c r="C95" s="8" t="s">
        <v>181</v>
      </c>
      <c r="D95" s="9" t="s">
        <v>30</v>
      </c>
      <c r="E95" s="8" t="s">
        <v>31</v>
      </c>
      <c r="F95" s="10">
        <v>44202</v>
      </c>
      <c r="G95" s="8">
        <v>10</v>
      </c>
      <c r="H95" s="11" t="s">
        <v>23</v>
      </c>
      <c r="I95" s="11" t="s">
        <v>546</v>
      </c>
      <c r="J95" s="8">
        <v>10</v>
      </c>
      <c r="K95" s="8" t="s">
        <v>563</v>
      </c>
      <c r="L95" s="8">
        <v>3.5</v>
      </c>
      <c r="M95" s="13">
        <v>35</v>
      </c>
    </row>
    <row r="96" spans="1:13" x14ac:dyDescent="0.25">
      <c r="A96" s="7" t="s">
        <v>13</v>
      </c>
      <c r="B96" s="8" t="s">
        <v>19</v>
      </c>
      <c r="C96" s="8" t="s">
        <v>181</v>
      </c>
      <c r="D96" s="9" t="s">
        <v>30</v>
      </c>
      <c r="E96" s="8" t="s">
        <v>44</v>
      </c>
      <c r="F96" s="10">
        <v>44202</v>
      </c>
      <c r="G96" s="8">
        <v>10</v>
      </c>
      <c r="H96" s="11" t="s">
        <v>23</v>
      </c>
      <c r="I96" s="11" t="s">
        <v>546</v>
      </c>
      <c r="J96" s="8">
        <v>10</v>
      </c>
      <c r="K96" s="8" t="s">
        <v>550</v>
      </c>
      <c r="L96" s="8">
        <v>3.5</v>
      </c>
      <c r="M96" s="13">
        <v>35</v>
      </c>
    </row>
    <row r="97" spans="1:13" x14ac:dyDescent="0.25">
      <c r="A97" s="7" t="s">
        <v>13</v>
      </c>
      <c r="B97" s="8" t="s">
        <v>24</v>
      </c>
      <c r="C97" s="8" t="s">
        <v>188</v>
      </c>
      <c r="D97" s="9" t="s">
        <v>189</v>
      </c>
      <c r="E97" s="8" t="s">
        <v>34</v>
      </c>
      <c r="F97" s="10">
        <v>44203</v>
      </c>
      <c r="G97" s="8">
        <v>2</v>
      </c>
      <c r="H97" s="11" t="s">
        <v>28</v>
      </c>
      <c r="I97" s="11" t="s">
        <v>546</v>
      </c>
      <c r="J97" s="8">
        <v>2</v>
      </c>
      <c r="K97" s="8" t="s">
        <v>567</v>
      </c>
      <c r="L97" s="8">
        <v>8</v>
      </c>
      <c r="M97" s="13">
        <v>48</v>
      </c>
    </row>
    <row r="98" spans="1:13" x14ac:dyDescent="0.25">
      <c r="A98" s="7" t="s">
        <v>13</v>
      </c>
      <c r="B98" s="8" t="s">
        <v>19</v>
      </c>
      <c r="C98" s="8" t="s">
        <v>190</v>
      </c>
      <c r="D98" s="9" t="s">
        <v>143</v>
      </c>
      <c r="E98" s="8" t="s">
        <v>31</v>
      </c>
      <c r="F98" s="10">
        <v>44202</v>
      </c>
      <c r="G98" s="8">
        <v>10</v>
      </c>
      <c r="H98" s="11" t="s">
        <v>23</v>
      </c>
      <c r="I98" s="11" t="s">
        <v>546</v>
      </c>
      <c r="J98" s="8">
        <v>10</v>
      </c>
      <c r="K98" s="8" t="s">
        <v>551</v>
      </c>
      <c r="L98" s="8">
        <v>2</v>
      </c>
      <c r="M98" s="13">
        <v>20</v>
      </c>
    </row>
    <row r="99" spans="1:13" x14ac:dyDescent="0.25">
      <c r="A99" s="7" t="s">
        <v>13</v>
      </c>
      <c r="B99" s="8" t="s">
        <v>24</v>
      </c>
      <c r="C99" s="8" t="s">
        <v>188</v>
      </c>
      <c r="D99" s="9" t="s">
        <v>191</v>
      </c>
      <c r="E99" s="8" t="s">
        <v>27</v>
      </c>
      <c r="F99" s="10">
        <v>44203</v>
      </c>
      <c r="G99" s="8">
        <v>2</v>
      </c>
      <c r="H99" s="11" t="s">
        <v>28</v>
      </c>
      <c r="I99" s="11" t="s">
        <v>546</v>
      </c>
      <c r="J99" s="8">
        <v>2</v>
      </c>
      <c r="K99" s="8" t="s">
        <v>560</v>
      </c>
      <c r="L99" s="8">
        <v>8</v>
      </c>
      <c r="M99" s="13">
        <v>48</v>
      </c>
    </row>
    <row r="100" spans="1:13" x14ac:dyDescent="0.25">
      <c r="A100" s="7" t="s">
        <v>13</v>
      </c>
      <c r="B100" s="8" t="s">
        <v>14</v>
      </c>
      <c r="C100" s="8" t="s">
        <v>192</v>
      </c>
      <c r="D100" s="9" t="s">
        <v>193</v>
      </c>
      <c r="E100" s="8" t="s">
        <v>115</v>
      </c>
      <c r="F100" s="10">
        <v>44203</v>
      </c>
      <c r="G100" s="8">
        <v>5</v>
      </c>
      <c r="H100" s="11" t="s">
        <v>28</v>
      </c>
      <c r="I100" s="11" t="s">
        <v>546</v>
      </c>
      <c r="J100" s="8">
        <v>5</v>
      </c>
      <c r="K100" s="8" t="s">
        <v>550</v>
      </c>
      <c r="L100" s="8">
        <v>7</v>
      </c>
      <c r="M100" s="13">
        <v>35</v>
      </c>
    </row>
    <row r="101" spans="1:13" x14ac:dyDescent="0.25">
      <c r="A101" s="7" t="s">
        <v>13</v>
      </c>
      <c r="B101" s="8" t="s">
        <v>14</v>
      </c>
      <c r="C101" s="8" t="s">
        <v>194</v>
      </c>
      <c r="D101" s="9" t="s">
        <v>101</v>
      </c>
      <c r="E101" s="8" t="s">
        <v>59</v>
      </c>
      <c r="F101" s="10">
        <v>44201</v>
      </c>
      <c r="G101" s="8">
        <v>10</v>
      </c>
      <c r="H101" s="11" t="s">
        <v>28</v>
      </c>
      <c r="I101" s="11" t="s">
        <v>546</v>
      </c>
      <c r="J101" s="8">
        <v>10</v>
      </c>
      <c r="K101" s="8" t="s">
        <v>556</v>
      </c>
      <c r="L101" s="8">
        <v>6</v>
      </c>
      <c r="M101" s="13">
        <v>60</v>
      </c>
    </row>
    <row r="102" spans="1:13" x14ac:dyDescent="0.25">
      <c r="A102" s="7" t="s">
        <v>13</v>
      </c>
      <c r="B102" s="8" t="s">
        <v>14</v>
      </c>
      <c r="C102" s="8" t="s">
        <v>195</v>
      </c>
      <c r="D102" s="9" t="s">
        <v>55</v>
      </c>
      <c r="E102" s="8" t="s">
        <v>56</v>
      </c>
      <c r="F102" s="10">
        <v>44203</v>
      </c>
      <c r="G102" s="8">
        <v>7</v>
      </c>
      <c r="H102" s="11" t="s">
        <v>18</v>
      </c>
      <c r="I102" s="11" t="s">
        <v>546</v>
      </c>
      <c r="J102" s="8">
        <v>7</v>
      </c>
      <c r="K102" s="8" t="s">
        <v>573</v>
      </c>
      <c r="L102" s="8">
        <v>3</v>
      </c>
      <c r="M102" s="13">
        <v>21</v>
      </c>
    </row>
    <row r="103" spans="1:13" x14ac:dyDescent="0.25">
      <c r="A103" s="7" t="s">
        <v>13</v>
      </c>
      <c r="B103" s="8" t="s">
        <v>14</v>
      </c>
      <c r="C103" s="8" t="s">
        <v>195</v>
      </c>
      <c r="D103" s="9" t="s">
        <v>68</v>
      </c>
      <c r="E103" s="8" t="s">
        <v>59</v>
      </c>
      <c r="F103" s="10">
        <v>44203</v>
      </c>
      <c r="G103" s="8">
        <v>8</v>
      </c>
      <c r="H103" s="11" t="s">
        <v>18</v>
      </c>
      <c r="I103" s="11" t="s">
        <v>546</v>
      </c>
      <c r="J103" s="8">
        <v>8</v>
      </c>
      <c r="K103" s="8" t="s">
        <v>559</v>
      </c>
      <c r="L103" s="8">
        <v>3</v>
      </c>
      <c r="M103" s="13">
        <v>24</v>
      </c>
    </row>
    <row r="104" spans="1:13" x14ac:dyDescent="0.25">
      <c r="A104" s="7" t="s">
        <v>13</v>
      </c>
      <c r="B104" s="8" t="s">
        <v>14</v>
      </c>
      <c r="C104" s="8" t="s">
        <v>116</v>
      </c>
      <c r="D104" s="9" t="s">
        <v>170</v>
      </c>
      <c r="E104" s="8" t="s">
        <v>17</v>
      </c>
      <c r="F104" s="10">
        <v>44203</v>
      </c>
      <c r="G104" s="8">
        <v>7</v>
      </c>
      <c r="H104" s="11" t="s">
        <v>18</v>
      </c>
      <c r="I104" s="11" t="s">
        <v>546</v>
      </c>
      <c r="J104" s="8">
        <v>7</v>
      </c>
      <c r="K104" s="8" t="s">
        <v>558</v>
      </c>
      <c r="L104" s="8">
        <v>3</v>
      </c>
      <c r="M104" s="13">
        <v>21</v>
      </c>
    </row>
    <row r="105" spans="1:13" x14ac:dyDescent="0.25">
      <c r="A105" s="7" t="s">
        <v>13</v>
      </c>
      <c r="B105" s="8" t="s">
        <v>14</v>
      </c>
      <c r="C105" s="8" t="s">
        <v>196</v>
      </c>
      <c r="D105" s="9" t="s">
        <v>197</v>
      </c>
      <c r="E105" s="8" t="s">
        <v>49</v>
      </c>
      <c r="F105" s="10">
        <v>44202</v>
      </c>
      <c r="G105" s="8">
        <v>3</v>
      </c>
      <c r="H105" s="11" t="s">
        <v>18</v>
      </c>
      <c r="I105" s="11" t="s">
        <v>546</v>
      </c>
      <c r="J105" s="8">
        <v>3</v>
      </c>
      <c r="K105" s="8" t="s">
        <v>567</v>
      </c>
      <c r="L105" s="8">
        <v>3</v>
      </c>
      <c r="M105" s="13">
        <v>27</v>
      </c>
    </row>
    <row r="106" spans="1:13" x14ac:dyDescent="0.25">
      <c r="A106" s="7" t="s">
        <v>13</v>
      </c>
      <c r="B106" s="8" t="s">
        <v>14</v>
      </c>
      <c r="C106" s="8" t="s">
        <v>196</v>
      </c>
      <c r="D106" s="9" t="s">
        <v>198</v>
      </c>
      <c r="E106" s="8" t="s">
        <v>59</v>
      </c>
      <c r="F106" s="10">
        <v>44202</v>
      </c>
      <c r="G106" s="8">
        <v>7</v>
      </c>
      <c r="H106" s="11" t="s">
        <v>18</v>
      </c>
      <c r="I106" s="11" t="s">
        <v>546</v>
      </c>
      <c r="J106" s="8">
        <v>7</v>
      </c>
      <c r="K106" s="8" t="s">
        <v>563</v>
      </c>
      <c r="L106" s="8">
        <v>3</v>
      </c>
      <c r="M106" s="13">
        <v>21</v>
      </c>
    </row>
    <row r="107" spans="1:13" x14ac:dyDescent="0.25">
      <c r="A107" s="7" t="s">
        <v>13</v>
      </c>
      <c r="B107" s="8" t="s">
        <v>14</v>
      </c>
      <c r="C107" s="8" t="s">
        <v>196</v>
      </c>
      <c r="D107" s="9" t="s">
        <v>198</v>
      </c>
      <c r="E107" s="8" t="s">
        <v>199</v>
      </c>
      <c r="F107" s="10">
        <v>44202</v>
      </c>
      <c r="G107" s="8">
        <v>8</v>
      </c>
      <c r="H107" s="11" t="s">
        <v>18</v>
      </c>
      <c r="I107" s="11" t="s">
        <v>546</v>
      </c>
      <c r="J107" s="8">
        <v>8</v>
      </c>
      <c r="K107" s="8" t="s">
        <v>558</v>
      </c>
      <c r="L107" s="8">
        <v>3</v>
      </c>
      <c r="M107" s="13">
        <v>24</v>
      </c>
    </row>
    <row r="108" spans="1:13" x14ac:dyDescent="0.25">
      <c r="A108" s="7" t="s">
        <v>13</v>
      </c>
      <c r="B108" s="8" t="s">
        <v>14</v>
      </c>
      <c r="C108" s="8" t="s">
        <v>200</v>
      </c>
      <c r="D108" s="9" t="s">
        <v>201</v>
      </c>
      <c r="E108" s="8" t="s">
        <v>56</v>
      </c>
      <c r="F108" s="10">
        <v>44201</v>
      </c>
      <c r="G108" s="8">
        <v>12</v>
      </c>
      <c r="H108" s="11" t="s">
        <v>18</v>
      </c>
      <c r="I108" s="11" t="s">
        <v>546</v>
      </c>
      <c r="J108" s="8">
        <v>12</v>
      </c>
      <c r="K108" s="8" t="s">
        <v>568</v>
      </c>
      <c r="L108" s="8">
        <v>7</v>
      </c>
      <c r="M108" s="13">
        <v>84</v>
      </c>
    </row>
    <row r="109" spans="1:13" x14ac:dyDescent="0.25">
      <c r="A109" s="7" t="s">
        <v>13</v>
      </c>
      <c r="B109" s="8" t="s">
        <v>14</v>
      </c>
      <c r="C109" s="8" t="s">
        <v>202</v>
      </c>
      <c r="D109" s="9" t="s">
        <v>203</v>
      </c>
      <c r="E109" s="8" t="s">
        <v>204</v>
      </c>
      <c r="F109" s="10">
        <v>44201</v>
      </c>
      <c r="G109" s="8">
        <v>2</v>
      </c>
      <c r="H109" s="11" t="s">
        <v>18</v>
      </c>
      <c r="I109" s="11" t="s">
        <v>546</v>
      </c>
      <c r="J109" s="8">
        <v>2</v>
      </c>
      <c r="K109" s="8" t="s">
        <v>559</v>
      </c>
      <c r="L109" s="8">
        <v>3</v>
      </c>
      <c r="M109" s="13">
        <v>18</v>
      </c>
    </row>
    <row r="110" spans="1:13" x14ac:dyDescent="0.25">
      <c r="A110" s="7" t="s">
        <v>13</v>
      </c>
      <c r="B110" s="8" t="s">
        <v>14</v>
      </c>
      <c r="C110" s="8" t="s">
        <v>205</v>
      </c>
      <c r="D110" s="9" t="s">
        <v>206</v>
      </c>
      <c r="E110" s="8" t="s">
        <v>59</v>
      </c>
      <c r="F110" s="10">
        <v>44201</v>
      </c>
      <c r="G110" s="8">
        <v>5</v>
      </c>
      <c r="H110" s="11" t="s">
        <v>18</v>
      </c>
      <c r="I110" s="11" t="s">
        <v>546</v>
      </c>
      <c r="J110" s="8">
        <v>5</v>
      </c>
      <c r="K110" s="8" t="s">
        <v>564</v>
      </c>
      <c r="L110" s="8">
        <v>12</v>
      </c>
      <c r="M110" s="13">
        <v>60</v>
      </c>
    </row>
    <row r="111" spans="1:13" x14ac:dyDescent="0.25">
      <c r="A111" s="7" t="s">
        <v>13</v>
      </c>
      <c r="B111" s="8" t="s">
        <v>14</v>
      </c>
      <c r="C111" s="8" t="s">
        <v>205</v>
      </c>
      <c r="D111" s="9" t="s">
        <v>207</v>
      </c>
      <c r="E111" s="8" t="s">
        <v>17</v>
      </c>
      <c r="F111" s="10">
        <v>44201</v>
      </c>
      <c r="G111" s="8">
        <v>5</v>
      </c>
      <c r="H111" s="11" t="s">
        <v>18</v>
      </c>
      <c r="I111" s="11" t="s">
        <v>546</v>
      </c>
      <c r="J111" s="8">
        <v>5</v>
      </c>
      <c r="K111" s="8" t="s">
        <v>571</v>
      </c>
      <c r="L111" s="8">
        <v>12</v>
      </c>
      <c r="M111" s="13">
        <v>60</v>
      </c>
    </row>
    <row r="112" spans="1:13" x14ac:dyDescent="0.25">
      <c r="A112" s="7" t="s">
        <v>13</v>
      </c>
      <c r="B112" s="8" t="s">
        <v>46</v>
      </c>
      <c r="C112" s="8" t="s">
        <v>208</v>
      </c>
      <c r="D112" s="9" t="s">
        <v>48</v>
      </c>
      <c r="E112" s="8" t="s">
        <v>165</v>
      </c>
      <c r="F112" s="10">
        <v>44202</v>
      </c>
      <c r="G112" s="8">
        <v>8</v>
      </c>
      <c r="H112" s="11" t="s">
        <v>18</v>
      </c>
      <c r="I112" s="11" t="s">
        <v>546</v>
      </c>
      <c r="J112" s="8">
        <v>8</v>
      </c>
      <c r="K112" s="8" t="s">
        <v>552</v>
      </c>
      <c r="L112" s="8">
        <v>3</v>
      </c>
      <c r="M112" s="13">
        <v>24</v>
      </c>
    </row>
    <row r="113" spans="1:13" x14ac:dyDescent="0.25">
      <c r="A113" s="7" t="s">
        <v>13</v>
      </c>
      <c r="B113" s="8" t="s">
        <v>19</v>
      </c>
      <c r="C113" s="8" t="s">
        <v>209</v>
      </c>
      <c r="D113" s="9" t="s">
        <v>210</v>
      </c>
      <c r="E113" s="8" t="s">
        <v>211</v>
      </c>
      <c r="F113" s="10">
        <v>44202</v>
      </c>
      <c r="G113" s="8">
        <v>7</v>
      </c>
      <c r="H113" s="11" t="s">
        <v>18</v>
      </c>
      <c r="I113" s="11" t="s">
        <v>546</v>
      </c>
      <c r="J113" s="8">
        <v>7</v>
      </c>
      <c r="K113" s="8" t="s">
        <v>563</v>
      </c>
      <c r="L113" s="8">
        <v>3.5</v>
      </c>
      <c r="M113" s="13">
        <v>24.5</v>
      </c>
    </row>
    <row r="114" spans="1:13" x14ac:dyDescent="0.25">
      <c r="A114" s="7" t="s">
        <v>13</v>
      </c>
      <c r="B114" s="8" t="s">
        <v>19</v>
      </c>
      <c r="C114" s="8" t="s">
        <v>212</v>
      </c>
      <c r="D114" s="9" t="s">
        <v>143</v>
      </c>
      <c r="E114" s="8" t="s">
        <v>31</v>
      </c>
      <c r="F114" s="10">
        <v>44202</v>
      </c>
      <c r="G114" s="8">
        <v>10</v>
      </c>
      <c r="H114" s="11" t="s">
        <v>18</v>
      </c>
      <c r="I114" s="11" t="s">
        <v>546</v>
      </c>
      <c r="J114" s="8">
        <v>10</v>
      </c>
      <c r="K114" s="8" t="s">
        <v>559</v>
      </c>
      <c r="L114" s="8">
        <v>2.5</v>
      </c>
      <c r="M114" s="13">
        <v>25</v>
      </c>
    </row>
    <row r="115" spans="1:13" x14ac:dyDescent="0.25">
      <c r="A115" s="7" t="s">
        <v>13</v>
      </c>
      <c r="B115" s="8" t="s">
        <v>46</v>
      </c>
      <c r="C115" s="8" t="s">
        <v>213</v>
      </c>
      <c r="D115" s="9" t="s">
        <v>48</v>
      </c>
      <c r="E115" s="8" t="s">
        <v>165</v>
      </c>
      <c r="F115" s="10">
        <v>44202</v>
      </c>
      <c r="G115" s="8">
        <v>8</v>
      </c>
      <c r="H115" s="11" t="s">
        <v>50</v>
      </c>
      <c r="I115" s="11" t="s">
        <v>546</v>
      </c>
      <c r="J115" s="8">
        <v>8</v>
      </c>
      <c r="K115" s="8" t="s">
        <v>560</v>
      </c>
      <c r="L115" s="8">
        <v>3</v>
      </c>
      <c r="M115" s="13">
        <v>24</v>
      </c>
    </row>
    <row r="116" spans="1:13" x14ac:dyDescent="0.25">
      <c r="A116" s="7" t="s">
        <v>13</v>
      </c>
      <c r="B116" s="8" t="s">
        <v>14</v>
      </c>
      <c r="C116" s="8" t="s">
        <v>214</v>
      </c>
      <c r="D116" s="9" t="s">
        <v>215</v>
      </c>
      <c r="E116" s="8" t="s">
        <v>59</v>
      </c>
      <c r="F116" s="10">
        <v>44202</v>
      </c>
      <c r="G116" s="8">
        <v>2</v>
      </c>
      <c r="H116" s="11" t="s">
        <v>18</v>
      </c>
      <c r="I116" s="11" t="s">
        <v>546</v>
      </c>
      <c r="J116" s="8">
        <v>2</v>
      </c>
      <c r="K116" s="8" t="s">
        <v>572</v>
      </c>
      <c r="L116" s="8">
        <v>8</v>
      </c>
      <c r="M116" s="13">
        <v>48</v>
      </c>
    </row>
    <row r="117" spans="1:13" x14ac:dyDescent="0.25">
      <c r="A117" s="7" t="s">
        <v>13</v>
      </c>
      <c r="B117" s="8" t="s">
        <v>14</v>
      </c>
      <c r="C117" s="8" t="s">
        <v>216</v>
      </c>
      <c r="D117" s="9" t="s">
        <v>217</v>
      </c>
      <c r="E117" s="8" t="s">
        <v>72</v>
      </c>
      <c r="F117" s="10">
        <v>44202</v>
      </c>
      <c r="G117" s="8">
        <v>2</v>
      </c>
      <c r="H117" s="11" t="s">
        <v>18</v>
      </c>
      <c r="I117" s="11" t="s">
        <v>546</v>
      </c>
      <c r="J117" s="8">
        <v>2</v>
      </c>
      <c r="K117" s="8" t="s">
        <v>547</v>
      </c>
      <c r="L117" s="8">
        <v>4</v>
      </c>
      <c r="M117" s="13">
        <v>24</v>
      </c>
    </row>
    <row r="118" spans="1:13" x14ac:dyDescent="0.25">
      <c r="A118" s="7" t="s">
        <v>13</v>
      </c>
      <c r="B118" s="8" t="s">
        <v>19</v>
      </c>
      <c r="C118" s="8" t="s">
        <v>184</v>
      </c>
      <c r="D118" s="9" t="s">
        <v>41</v>
      </c>
      <c r="E118" s="8" t="s">
        <v>31</v>
      </c>
      <c r="F118" s="10">
        <v>44202</v>
      </c>
      <c r="G118" s="8">
        <v>6</v>
      </c>
      <c r="H118" s="11" t="s">
        <v>42</v>
      </c>
      <c r="I118" s="11" t="s">
        <v>546</v>
      </c>
      <c r="J118" s="8">
        <v>6</v>
      </c>
      <c r="K118" s="8" t="s">
        <v>553</v>
      </c>
      <c r="L118" s="8">
        <v>6</v>
      </c>
      <c r="M118" s="13">
        <v>36</v>
      </c>
    </row>
    <row r="119" spans="1:13" x14ac:dyDescent="0.25">
      <c r="A119" s="7" t="s">
        <v>13</v>
      </c>
      <c r="B119" s="8" t="s">
        <v>19</v>
      </c>
      <c r="C119" s="8" t="s">
        <v>180</v>
      </c>
      <c r="D119" s="9" t="s">
        <v>30</v>
      </c>
      <c r="E119" s="8" t="s">
        <v>31</v>
      </c>
      <c r="F119" s="10">
        <v>44202</v>
      </c>
      <c r="G119" s="8">
        <v>10</v>
      </c>
      <c r="H119" s="11" t="s">
        <v>23</v>
      </c>
      <c r="I119" s="11" t="s">
        <v>546</v>
      </c>
      <c r="J119" s="8">
        <v>10</v>
      </c>
      <c r="K119" s="8" t="s">
        <v>554</v>
      </c>
      <c r="L119" s="8">
        <v>2</v>
      </c>
      <c r="M119" s="13">
        <v>20</v>
      </c>
    </row>
    <row r="120" spans="1:13" x14ac:dyDescent="0.25">
      <c r="A120" s="7" t="s">
        <v>13</v>
      </c>
      <c r="B120" s="8" t="s">
        <v>14</v>
      </c>
      <c r="C120" s="8" t="s">
        <v>218</v>
      </c>
      <c r="D120" s="9" t="s">
        <v>68</v>
      </c>
      <c r="E120" s="8" t="s">
        <v>59</v>
      </c>
      <c r="F120" s="10">
        <v>44200</v>
      </c>
      <c r="G120" s="8">
        <v>8</v>
      </c>
      <c r="H120" s="11" t="s">
        <v>18</v>
      </c>
      <c r="I120" s="11" t="s">
        <v>546</v>
      </c>
      <c r="J120" s="8">
        <v>8</v>
      </c>
      <c r="K120" s="8" t="s">
        <v>563</v>
      </c>
      <c r="L120" s="8">
        <v>5</v>
      </c>
      <c r="M120" s="13">
        <v>40</v>
      </c>
    </row>
    <row r="121" spans="1:13" x14ac:dyDescent="0.25">
      <c r="A121" s="7" t="s">
        <v>13</v>
      </c>
      <c r="B121" s="8" t="s">
        <v>14</v>
      </c>
      <c r="C121" s="8" t="s">
        <v>219</v>
      </c>
      <c r="D121" s="9" t="s">
        <v>220</v>
      </c>
      <c r="E121" s="8" t="s">
        <v>49</v>
      </c>
      <c r="F121" s="10">
        <v>44200</v>
      </c>
      <c r="G121" s="8">
        <v>10</v>
      </c>
      <c r="H121" s="11" t="s">
        <v>18</v>
      </c>
      <c r="I121" s="11" t="s">
        <v>546</v>
      </c>
      <c r="J121" s="8">
        <v>10</v>
      </c>
      <c r="K121" s="8" t="s">
        <v>572</v>
      </c>
      <c r="L121" s="8">
        <v>3</v>
      </c>
      <c r="M121" s="13">
        <v>30</v>
      </c>
    </row>
    <row r="122" spans="1:13" x14ac:dyDescent="0.25">
      <c r="A122" s="7" t="s">
        <v>13</v>
      </c>
      <c r="B122" s="8" t="s">
        <v>14</v>
      </c>
      <c r="C122" s="8" t="s">
        <v>219</v>
      </c>
      <c r="D122" s="9" t="s">
        <v>79</v>
      </c>
      <c r="E122" s="8" t="s">
        <v>59</v>
      </c>
      <c r="F122" s="10">
        <v>44200</v>
      </c>
      <c r="G122" s="8">
        <v>10</v>
      </c>
      <c r="H122" s="11" t="s">
        <v>18</v>
      </c>
      <c r="I122" s="11" t="s">
        <v>546</v>
      </c>
      <c r="J122" s="8">
        <v>10</v>
      </c>
      <c r="K122" s="8" t="s">
        <v>569</v>
      </c>
      <c r="L122" s="8">
        <v>3</v>
      </c>
      <c r="M122" s="13">
        <v>30</v>
      </c>
    </row>
    <row r="123" spans="1:13" x14ac:dyDescent="0.25">
      <c r="A123" s="7" t="s">
        <v>13</v>
      </c>
      <c r="B123" s="8" t="s">
        <v>14</v>
      </c>
      <c r="C123" s="8" t="s">
        <v>221</v>
      </c>
      <c r="D123" s="9" t="s">
        <v>222</v>
      </c>
      <c r="E123" s="8" t="s">
        <v>17</v>
      </c>
      <c r="F123" s="10">
        <v>44200</v>
      </c>
      <c r="G123" s="8">
        <v>8</v>
      </c>
      <c r="H123" s="11" t="s">
        <v>18</v>
      </c>
      <c r="I123" s="11" t="s">
        <v>546</v>
      </c>
      <c r="J123" s="8">
        <v>8</v>
      </c>
      <c r="K123" s="8" t="s">
        <v>561</v>
      </c>
      <c r="L123" s="8">
        <v>4</v>
      </c>
      <c r="M123" s="13">
        <v>32</v>
      </c>
    </row>
    <row r="124" spans="1:13" x14ac:dyDescent="0.25">
      <c r="A124" s="7" t="s">
        <v>13</v>
      </c>
      <c r="B124" s="8" t="s">
        <v>14</v>
      </c>
      <c r="C124" s="8" t="s">
        <v>221</v>
      </c>
      <c r="D124" s="9" t="s">
        <v>223</v>
      </c>
      <c r="E124" s="8" t="s">
        <v>72</v>
      </c>
      <c r="F124" s="10">
        <v>44200</v>
      </c>
      <c r="G124" s="8">
        <v>7</v>
      </c>
      <c r="H124" s="11" t="s">
        <v>18</v>
      </c>
      <c r="I124" s="11" t="s">
        <v>546</v>
      </c>
      <c r="J124" s="8">
        <v>7</v>
      </c>
      <c r="K124" s="8" t="s">
        <v>567</v>
      </c>
      <c r="L124" s="8">
        <v>4</v>
      </c>
      <c r="M124" s="13">
        <v>28</v>
      </c>
    </row>
    <row r="125" spans="1:13" x14ac:dyDescent="0.25">
      <c r="A125" s="7" t="s">
        <v>13</v>
      </c>
      <c r="B125" s="8" t="s">
        <v>14</v>
      </c>
      <c r="C125" s="8" t="s">
        <v>221</v>
      </c>
      <c r="D125" s="9" t="s">
        <v>55</v>
      </c>
      <c r="E125" s="8" t="s">
        <v>56</v>
      </c>
      <c r="F125" s="10">
        <v>44200</v>
      </c>
      <c r="G125" s="8">
        <v>7</v>
      </c>
      <c r="H125" s="11" t="s">
        <v>18</v>
      </c>
      <c r="I125" s="11" t="s">
        <v>546</v>
      </c>
      <c r="J125" s="8">
        <v>7</v>
      </c>
      <c r="K125" s="8" t="s">
        <v>566</v>
      </c>
      <c r="L125" s="8">
        <v>4</v>
      </c>
      <c r="M125" s="13">
        <v>28</v>
      </c>
    </row>
    <row r="126" spans="1:13" x14ac:dyDescent="0.25">
      <c r="A126" s="7" t="s">
        <v>13</v>
      </c>
      <c r="B126" s="8" t="s">
        <v>14</v>
      </c>
      <c r="C126" s="8" t="s">
        <v>224</v>
      </c>
      <c r="D126" s="9" t="s">
        <v>225</v>
      </c>
      <c r="E126" s="8" t="s">
        <v>125</v>
      </c>
      <c r="F126" s="10">
        <v>44200</v>
      </c>
      <c r="G126" s="8">
        <v>2</v>
      </c>
      <c r="H126" s="11" t="s">
        <v>18</v>
      </c>
      <c r="I126" s="11" t="s">
        <v>546</v>
      </c>
      <c r="J126" s="8">
        <v>2</v>
      </c>
      <c r="K126" s="8" t="s">
        <v>549</v>
      </c>
      <c r="L126" s="8">
        <v>8</v>
      </c>
      <c r="M126" s="13">
        <v>48</v>
      </c>
    </row>
    <row r="127" spans="1:13" x14ac:dyDescent="0.25">
      <c r="A127" s="7" t="s">
        <v>13</v>
      </c>
      <c r="B127" s="8" t="s">
        <v>19</v>
      </c>
      <c r="C127" s="8" t="s">
        <v>226</v>
      </c>
      <c r="D127" s="9" t="s">
        <v>30</v>
      </c>
      <c r="E127" s="8" t="s">
        <v>22</v>
      </c>
      <c r="F127" s="10">
        <v>44200</v>
      </c>
      <c r="G127" s="8">
        <v>15</v>
      </c>
      <c r="H127" s="11" t="s">
        <v>76</v>
      </c>
      <c r="I127" s="11" t="s">
        <v>546</v>
      </c>
      <c r="J127" s="8">
        <v>15</v>
      </c>
      <c r="K127" s="8" t="s">
        <v>560</v>
      </c>
      <c r="L127" s="8">
        <v>10</v>
      </c>
      <c r="M127" s="13">
        <v>150</v>
      </c>
    </row>
    <row r="128" spans="1:13" x14ac:dyDescent="0.25">
      <c r="A128" s="7" t="s">
        <v>13</v>
      </c>
      <c r="B128" s="8" t="s">
        <v>46</v>
      </c>
      <c r="C128" s="8" t="s">
        <v>227</v>
      </c>
      <c r="D128" s="9" t="s">
        <v>48</v>
      </c>
      <c r="E128" s="8" t="s">
        <v>228</v>
      </c>
      <c r="F128" s="10">
        <v>44200</v>
      </c>
      <c r="G128" s="8">
        <v>6</v>
      </c>
      <c r="H128" s="11" t="s">
        <v>50</v>
      </c>
      <c r="I128" s="11" t="s">
        <v>546</v>
      </c>
      <c r="J128" s="8">
        <v>6</v>
      </c>
      <c r="K128" s="8" t="s">
        <v>553</v>
      </c>
      <c r="L128" s="8">
        <v>4.5</v>
      </c>
      <c r="M128" s="13">
        <v>27</v>
      </c>
    </row>
    <row r="129" spans="1:13" x14ac:dyDescent="0.25">
      <c r="A129" s="7" t="s">
        <v>13</v>
      </c>
      <c r="B129" s="8" t="s">
        <v>46</v>
      </c>
      <c r="C129" s="8" t="s">
        <v>229</v>
      </c>
      <c r="D129" s="9" t="s">
        <v>48</v>
      </c>
      <c r="E129" s="8" t="s">
        <v>115</v>
      </c>
      <c r="F129" s="10">
        <v>44200</v>
      </c>
      <c r="G129" s="8">
        <v>8</v>
      </c>
      <c r="H129" s="11" t="s">
        <v>18</v>
      </c>
      <c r="I129" s="11" t="s">
        <v>546</v>
      </c>
      <c r="J129" s="8">
        <v>8</v>
      </c>
      <c r="K129" s="8" t="s">
        <v>552</v>
      </c>
      <c r="L129" s="8">
        <v>4</v>
      </c>
      <c r="M129" s="13">
        <v>32</v>
      </c>
    </row>
    <row r="130" spans="1:13" x14ac:dyDescent="0.25">
      <c r="A130" s="7" t="s">
        <v>13</v>
      </c>
      <c r="B130" s="8" t="s">
        <v>19</v>
      </c>
      <c r="C130" s="8" t="s">
        <v>230</v>
      </c>
      <c r="D130" s="9" t="s">
        <v>77</v>
      </c>
      <c r="E130" s="8" t="s">
        <v>81</v>
      </c>
      <c r="F130" s="10">
        <v>44215</v>
      </c>
      <c r="G130" s="8">
        <v>8</v>
      </c>
      <c r="H130" s="11" t="s">
        <v>42</v>
      </c>
      <c r="I130" s="11" t="s">
        <v>546</v>
      </c>
      <c r="J130" s="8">
        <v>8</v>
      </c>
      <c r="K130" s="8" t="s">
        <v>557</v>
      </c>
      <c r="L130" s="8">
        <v>4</v>
      </c>
      <c r="M130" s="13">
        <v>32</v>
      </c>
    </row>
    <row r="131" spans="1:13" x14ac:dyDescent="0.25">
      <c r="A131" s="7" t="s">
        <v>13</v>
      </c>
      <c r="B131" s="8" t="s">
        <v>14</v>
      </c>
      <c r="C131" s="8" t="s">
        <v>231</v>
      </c>
      <c r="D131" s="9" t="s">
        <v>220</v>
      </c>
      <c r="E131" s="8" t="s">
        <v>49</v>
      </c>
      <c r="F131" s="10">
        <v>44200</v>
      </c>
      <c r="G131" s="8">
        <v>10</v>
      </c>
      <c r="H131" s="11" t="s">
        <v>18</v>
      </c>
      <c r="I131" s="11" t="s">
        <v>546</v>
      </c>
      <c r="J131" s="8">
        <v>10</v>
      </c>
      <c r="K131" s="8" t="s">
        <v>568</v>
      </c>
      <c r="L131" s="8">
        <v>8</v>
      </c>
      <c r="M131" s="13">
        <v>80</v>
      </c>
    </row>
    <row r="132" spans="1:13" x14ac:dyDescent="0.25">
      <c r="A132" s="7" t="s">
        <v>13</v>
      </c>
      <c r="B132" s="8" t="s">
        <v>19</v>
      </c>
      <c r="C132" s="8" t="s">
        <v>232</v>
      </c>
      <c r="D132" s="9" t="s">
        <v>233</v>
      </c>
      <c r="E132" s="8" t="s">
        <v>44</v>
      </c>
      <c r="F132" s="10">
        <v>44195</v>
      </c>
      <c r="G132" s="8">
        <v>8</v>
      </c>
      <c r="H132" s="11" t="s">
        <v>23</v>
      </c>
      <c r="I132" s="11" t="s">
        <v>546</v>
      </c>
      <c r="J132" s="8">
        <v>8</v>
      </c>
      <c r="K132" s="8" t="s">
        <v>560</v>
      </c>
      <c r="L132" s="8">
        <v>4</v>
      </c>
      <c r="M132" s="13">
        <v>32</v>
      </c>
    </row>
    <row r="133" spans="1:13" x14ac:dyDescent="0.25">
      <c r="A133" s="7" t="s">
        <v>13</v>
      </c>
      <c r="B133" s="8" t="s">
        <v>19</v>
      </c>
      <c r="C133" s="8" t="s">
        <v>234</v>
      </c>
      <c r="D133" s="9" t="s">
        <v>30</v>
      </c>
      <c r="E133" s="8" t="s">
        <v>31</v>
      </c>
      <c r="F133" s="10">
        <v>44195</v>
      </c>
      <c r="G133" s="8">
        <v>10</v>
      </c>
      <c r="H133" s="11" t="s">
        <v>23</v>
      </c>
      <c r="I133" s="11" t="s">
        <v>546</v>
      </c>
      <c r="J133" s="8">
        <v>10</v>
      </c>
      <c r="K133" s="8" t="s">
        <v>558</v>
      </c>
      <c r="L133" s="8">
        <v>2</v>
      </c>
      <c r="M133" s="13">
        <v>20</v>
      </c>
    </row>
    <row r="134" spans="1:13" x14ac:dyDescent="0.25">
      <c r="A134" s="7" t="s">
        <v>13</v>
      </c>
      <c r="B134" s="8" t="s">
        <v>19</v>
      </c>
      <c r="C134" s="8" t="s">
        <v>234</v>
      </c>
      <c r="D134" s="9" t="s">
        <v>30</v>
      </c>
      <c r="E134" s="8" t="s">
        <v>44</v>
      </c>
      <c r="F134" s="10">
        <v>44195</v>
      </c>
      <c r="G134" s="8">
        <v>10</v>
      </c>
      <c r="H134" s="11" t="s">
        <v>23</v>
      </c>
      <c r="I134" s="11" t="s">
        <v>546</v>
      </c>
      <c r="J134" s="8">
        <v>10</v>
      </c>
      <c r="K134" s="8" t="s">
        <v>551</v>
      </c>
      <c r="L134" s="8">
        <v>2</v>
      </c>
      <c r="M134" s="13">
        <v>20</v>
      </c>
    </row>
    <row r="135" spans="1:13" x14ac:dyDescent="0.25">
      <c r="A135" s="7" t="s">
        <v>13</v>
      </c>
      <c r="B135" s="8" t="s">
        <v>19</v>
      </c>
      <c r="C135" s="8" t="s">
        <v>235</v>
      </c>
      <c r="D135" s="9" t="s">
        <v>30</v>
      </c>
      <c r="E135" s="8" t="s">
        <v>31</v>
      </c>
      <c r="F135" s="10">
        <v>44195</v>
      </c>
      <c r="G135" s="8">
        <v>10</v>
      </c>
      <c r="H135" s="11" t="s">
        <v>23</v>
      </c>
      <c r="I135" s="11" t="s">
        <v>546</v>
      </c>
      <c r="J135" s="8">
        <v>10</v>
      </c>
      <c r="K135" s="8" t="s">
        <v>561</v>
      </c>
      <c r="L135" s="8">
        <v>2.5</v>
      </c>
      <c r="M135" s="13">
        <v>25</v>
      </c>
    </row>
    <row r="136" spans="1:13" x14ac:dyDescent="0.25">
      <c r="A136" s="7" t="s">
        <v>13</v>
      </c>
      <c r="B136" s="8" t="s">
        <v>19</v>
      </c>
      <c r="C136" s="8" t="s">
        <v>235</v>
      </c>
      <c r="D136" s="9" t="s">
        <v>30</v>
      </c>
      <c r="E136" s="8" t="s">
        <v>44</v>
      </c>
      <c r="F136" s="10">
        <v>44195</v>
      </c>
      <c r="G136" s="8">
        <v>10</v>
      </c>
      <c r="H136" s="11" t="s">
        <v>23</v>
      </c>
      <c r="I136" s="11" t="s">
        <v>546</v>
      </c>
      <c r="J136" s="8">
        <v>10</v>
      </c>
      <c r="K136" s="8" t="s">
        <v>566</v>
      </c>
      <c r="L136" s="8">
        <v>2.5</v>
      </c>
      <c r="M136" s="13">
        <v>25</v>
      </c>
    </row>
    <row r="137" spans="1:13" x14ac:dyDescent="0.25">
      <c r="A137" s="7" t="s">
        <v>13</v>
      </c>
      <c r="B137" s="8" t="s">
        <v>19</v>
      </c>
      <c r="C137" s="8" t="s">
        <v>236</v>
      </c>
      <c r="D137" s="9" t="s">
        <v>30</v>
      </c>
      <c r="E137" s="8" t="s">
        <v>31</v>
      </c>
      <c r="F137" s="10">
        <v>44194</v>
      </c>
      <c r="G137" s="8">
        <v>10</v>
      </c>
      <c r="H137" s="11" t="s">
        <v>23</v>
      </c>
      <c r="I137" s="11" t="s">
        <v>546</v>
      </c>
      <c r="J137" s="8">
        <v>10</v>
      </c>
      <c r="K137" s="8" t="s">
        <v>555</v>
      </c>
      <c r="L137" s="8">
        <v>2.5</v>
      </c>
      <c r="M137" s="13">
        <v>25</v>
      </c>
    </row>
    <row r="138" spans="1:13" x14ac:dyDescent="0.25">
      <c r="A138" s="7" t="s">
        <v>13</v>
      </c>
      <c r="B138" s="8" t="s">
        <v>19</v>
      </c>
      <c r="C138" s="8" t="s">
        <v>129</v>
      </c>
      <c r="D138" s="9" t="s">
        <v>237</v>
      </c>
      <c r="E138" s="8" t="s">
        <v>22</v>
      </c>
      <c r="F138" s="10">
        <v>44195</v>
      </c>
      <c r="G138" s="8">
        <v>4</v>
      </c>
      <c r="H138" s="11" t="s">
        <v>23</v>
      </c>
      <c r="I138" s="11" t="s">
        <v>546</v>
      </c>
      <c r="J138" s="8">
        <v>4</v>
      </c>
      <c r="K138" s="8" t="s">
        <v>563</v>
      </c>
      <c r="L138" s="8">
        <v>2.5</v>
      </c>
      <c r="M138" s="13">
        <v>10</v>
      </c>
    </row>
    <row r="139" spans="1:13" x14ac:dyDescent="0.25">
      <c r="A139" s="7" t="s">
        <v>13</v>
      </c>
      <c r="B139" s="8" t="s">
        <v>19</v>
      </c>
      <c r="C139" s="8" t="s">
        <v>236</v>
      </c>
      <c r="D139" s="9" t="s">
        <v>30</v>
      </c>
      <c r="E139" s="8" t="s">
        <v>44</v>
      </c>
      <c r="F139" s="10">
        <v>44194</v>
      </c>
      <c r="G139" s="8">
        <v>10</v>
      </c>
      <c r="H139" s="11" t="s">
        <v>23</v>
      </c>
      <c r="I139" s="11" t="s">
        <v>546</v>
      </c>
      <c r="J139" s="8">
        <v>10</v>
      </c>
      <c r="K139" s="8" t="s">
        <v>574</v>
      </c>
      <c r="L139" s="8">
        <v>2.5</v>
      </c>
      <c r="M139" s="13">
        <v>25</v>
      </c>
    </row>
    <row r="140" spans="1:13" x14ac:dyDescent="0.25">
      <c r="A140" s="7" t="s">
        <v>13</v>
      </c>
      <c r="B140" s="8" t="s">
        <v>14</v>
      </c>
      <c r="C140" s="8" t="s">
        <v>238</v>
      </c>
      <c r="D140" s="9" t="s">
        <v>101</v>
      </c>
      <c r="E140" s="8" t="s">
        <v>59</v>
      </c>
      <c r="F140" s="10">
        <v>44200</v>
      </c>
      <c r="G140" s="8">
        <v>5</v>
      </c>
      <c r="H140" s="11" t="s">
        <v>18</v>
      </c>
      <c r="I140" s="11" t="s">
        <v>546</v>
      </c>
      <c r="J140" s="8">
        <v>5</v>
      </c>
      <c r="K140" s="8" t="s">
        <v>564</v>
      </c>
      <c r="L140" s="8">
        <v>6</v>
      </c>
      <c r="M140" s="13">
        <v>30</v>
      </c>
    </row>
    <row r="141" spans="1:13" x14ac:dyDescent="0.25">
      <c r="A141" s="7" t="s">
        <v>13</v>
      </c>
      <c r="B141" s="8" t="s">
        <v>14</v>
      </c>
      <c r="C141" s="8" t="s">
        <v>238</v>
      </c>
      <c r="D141" s="9" t="s">
        <v>239</v>
      </c>
      <c r="E141" s="8" t="s">
        <v>17</v>
      </c>
      <c r="F141" s="10">
        <v>44200</v>
      </c>
      <c r="G141" s="8">
        <v>1</v>
      </c>
      <c r="H141" s="11" t="s">
        <v>18</v>
      </c>
      <c r="I141" s="11" t="s">
        <v>546</v>
      </c>
      <c r="J141" s="8">
        <v>1</v>
      </c>
      <c r="K141" s="8" t="s">
        <v>564</v>
      </c>
      <c r="L141" s="8">
        <v>6</v>
      </c>
      <c r="M141" s="13">
        <v>18</v>
      </c>
    </row>
    <row r="142" spans="1:13" x14ac:dyDescent="0.25">
      <c r="A142" s="7" t="s">
        <v>13</v>
      </c>
      <c r="B142" s="8" t="s">
        <v>14</v>
      </c>
      <c r="C142" s="8" t="s">
        <v>238</v>
      </c>
      <c r="D142" s="9" t="s">
        <v>240</v>
      </c>
      <c r="E142" s="8" t="s">
        <v>56</v>
      </c>
      <c r="F142" s="10">
        <v>44200</v>
      </c>
      <c r="G142" s="8">
        <v>1</v>
      </c>
      <c r="H142" s="11" t="s">
        <v>18</v>
      </c>
      <c r="I142" s="11" t="s">
        <v>546</v>
      </c>
      <c r="J142" s="8">
        <v>1</v>
      </c>
      <c r="K142" s="8" t="s">
        <v>565</v>
      </c>
      <c r="L142" s="8">
        <v>6</v>
      </c>
      <c r="M142" s="13">
        <v>18</v>
      </c>
    </row>
    <row r="143" spans="1:13" x14ac:dyDescent="0.25">
      <c r="A143" s="7" t="s">
        <v>13</v>
      </c>
      <c r="B143" s="8" t="s">
        <v>14</v>
      </c>
      <c r="C143" s="8" t="s">
        <v>238</v>
      </c>
      <c r="D143" s="9" t="s">
        <v>241</v>
      </c>
      <c r="E143" s="8" t="s">
        <v>125</v>
      </c>
      <c r="F143" s="10">
        <v>44200</v>
      </c>
      <c r="G143" s="8">
        <v>1</v>
      </c>
      <c r="H143" s="11" t="s">
        <v>18</v>
      </c>
      <c r="I143" s="11" t="s">
        <v>546</v>
      </c>
      <c r="J143" s="8">
        <v>1</v>
      </c>
      <c r="K143" s="8" t="s">
        <v>570</v>
      </c>
      <c r="L143" s="8">
        <v>6</v>
      </c>
      <c r="M143" s="13">
        <v>18</v>
      </c>
    </row>
    <row r="144" spans="1:13" x14ac:dyDescent="0.25">
      <c r="A144" s="7" t="s">
        <v>13</v>
      </c>
      <c r="B144" s="8" t="s">
        <v>14</v>
      </c>
      <c r="C144" s="8" t="s">
        <v>218</v>
      </c>
      <c r="D144" s="9" t="s">
        <v>55</v>
      </c>
      <c r="E144" s="8" t="s">
        <v>56</v>
      </c>
      <c r="F144" s="10">
        <v>44200</v>
      </c>
      <c r="G144" s="8">
        <v>7</v>
      </c>
      <c r="H144" s="11" t="s">
        <v>18</v>
      </c>
      <c r="I144" s="11" t="s">
        <v>546</v>
      </c>
      <c r="J144" s="8">
        <v>7</v>
      </c>
      <c r="K144" s="8" t="s">
        <v>556</v>
      </c>
      <c r="L144" s="8">
        <v>5</v>
      </c>
      <c r="M144" s="13">
        <v>35</v>
      </c>
    </row>
    <row r="145" spans="1:13" x14ac:dyDescent="0.25">
      <c r="A145" s="7" t="s">
        <v>13</v>
      </c>
      <c r="B145" s="8" t="s">
        <v>14</v>
      </c>
      <c r="C145" s="8" t="s">
        <v>218</v>
      </c>
      <c r="D145" s="9" t="s">
        <v>170</v>
      </c>
      <c r="E145" s="8" t="s">
        <v>17</v>
      </c>
      <c r="F145" s="10">
        <v>44200</v>
      </c>
      <c r="G145" s="8">
        <v>7</v>
      </c>
      <c r="H145" s="11" t="s">
        <v>18</v>
      </c>
      <c r="I145" s="11" t="s">
        <v>546</v>
      </c>
      <c r="J145" s="8">
        <v>7</v>
      </c>
      <c r="K145" s="8" t="s">
        <v>550</v>
      </c>
      <c r="L145" s="8">
        <v>5</v>
      </c>
      <c r="M145" s="13">
        <v>35</v>
      </c>
    </row>
    <row r="146" spans="1:13" x14ac:dyDescent="0.25">
      <c r="A146" s="7" t="s">
        <v>13</v>
      </c>
      <c r="B146" s="8" t="s">
        <v>19</v>
      </c>
      <c r="C146" s="8" t="s">
        <v>242</v>
      </c>
      <c r="D146" s="9" t="s">
        <v>243</v>
      </c>
      <c r="E146" s="8" t="s">
        <v>244</v>
      </c>
      <c r="F146" s="10">
        <v>44196</v>
      </c>
      <c r="G146" s="8">
        <v>8</v>
      </c>
      <c r="H146" s="11" t="s">
        <v>76</v>
      </c>
      <c r="I146" s="11" t="s">
        <v>546</v>
      </c>
      <c r="J146" s="8">
        <v>8</v>
      </c>
      <c r="K146" s="8" t="s">
        <v>564</v>
      </c>
      <c r="L146" s="8">
        <v>5</v>
      </c>
      <c r="M146" s="13">
        <v>40</v>
      </c>
    </row>
    <row r="147" spans="1:13" x14ac:dyDescent="0.25">
      <c r="A147" s="7" t="s">
        <v>13</v>
      </c>
      <c r="B147" s="8" t="s">
        <v>19</v>
      </c>
      <c r="C147" s="8" t="s">
        <v>245</v>
      </c>
      <c r="D147" s="9" t="s">
        <v>243</v>
      </c>
      <c r="E147" s="8" t="s">
        <v>246</v>
      </c>
      <c r="F147" s="10">
        <v>44196</v>
      </c>
      <c r="G147" s="8">
        <v>14</v>
      </c>
      <c r="H147" s="11" t="s">
        <v>76</v>
      </c>
      <c r="I147" s="11" t="s">
        <v>546</v>
      </c>
      <c r="J147" s="8">
        <v>13</v>
      </c>
      <c r="K147" s="8" t="s">
        <v>553</v>
      </c>
      <c r="L147" s="8">
        <v>2.5</v>
      </c>
      <c r="M147" s="13">
        <v>32.5</v>
      </c>
    </row>
    <row r="148" spans="1:13" x14ac:dyDescent="0.25">
      <c r="A148" s="7" t="s">
        <v>13</v>
      </c>
      <c r="B148" s="8" t="s">
        <v>19</v>
      </c>
      <c r="C148" s="8" t="s">
        <v>247</v>
      </c>
      <c r="D148" s="9" t="s">
        <v>243</v>
      </c>
      <c r="E148" s="8" t="s">
        <v>248</v>
      </c>
      <c r="F148" s="10">
        <v>44196</v>
      </c>
      <c r="G148" s="8">
        <v>10</v>
      </c>
      <c r="H148" s="11" t="s">
        <v>76</v>
      </c>
      <c r="I148" s="11" t="s">
        <v>546</v>
      </c>
      <c r="J148" s="8">
        <v>10</v>
      </c>
      <c r="K148" s="8" t="s">
        <v>574</v>
      </c>
      <c r="L148" s="8">
        <v>3</v>
      </c>
      <c r="M148" s="13">
        <v>30</v>
      </c>
    </row>
    <row r="149" spans="1:13" x14ac:dyDescent="0.25">
      <c r="A149" s="7" t="s">
        <v>13</v>
      </c>
      <c r="B149" s="8" t="s">
        <v>14</v>
      </c>
      <c r="C149" s="8" t="s">
        <v>249</v>
      </c>
      <c r="D149" s="9" t="s">
        <v>170</v>
      </c>
      <c r="E149" s="8" t="s">
        <v>17</v>
      </c>
      <c r="F149" s="10">
        <v>44195</v>
      </c>
      <c r="G149" s="8">
        <v>7</v>
      </c>
      <c r="H149" s="11" t="s">
        <v>18</v>
      </c>
      <c r="I149" s="11" t="s">
        <v>546</v>
      </c>
      <c r="J149" s="8">
        <v>7</v>
      </c>
      <c r="K149" s="8" t="s">
        <v>551</v>
      </c>
      <c r="L149" s="8">
        <v>3</v>
      </c>
      <c r="M149" s="13">
        <v>21</v>
      </c>
    </row>
    <row r="150" spans="1:13" x14ac:dyDescent="0.25">
      <c r="A150" s="7" t="s">
        <v>13</v>
      </c>
      <c r="B150" s="8" t="s">
        <v>14</v>
      </c>
      <c r="C150" s="8" t="s">
        <v>250</v>
      </c>
      <c r="D150" s="9" t="s">
        <v>170</v>
      </c>
      <c r="E150" s="8" t="s">
        <v>17</v>
      </c>
      <c r="F150" s="10">
        <v>44195</v>
      </c>
      <c r="G150" s="8">
        <v>7</v>
      </c>
      <c r="H150" s="11" t="s">
        <v>18</v>
      </c>
      <c r="I150" s="11" t="s">
        <v>546</v>
      </c>
      <c r="J150" s="8">
        <v>7</v>
      </c>
      <c r="K150" s="8" t="s">
        <v>547</v>
      </c>
      <c r="L150" s="8">
        <v>5</v>
      </c>
      <c r="M150" s="13">
        <v>35</v>
      </c>
    </row>
    <row r="151" spans="1:13" x14ac:dyDescent="0.25">
      <c r="A151" s="7" t="s">
        <v>13</v>
      </c>
      <c r="B151" s="8" t="s">
        <v>14</v>
      </c>
      <c r="C151" s="8" t="s">
        <v>250</v>
      </c>
      <c r="D151" s="9" t="s">
        <v>68</v>
      </c>
      <c r="E151" s="8" t="s">
        <v>125</v>
      </c>
      <c r="F151" s="10">
        <v>44195</v>
      </c>
      <c r="G151" s="8">
        <v>8</v>
      </c>
      <c r="H151" s="11" t="s">
        <v>18</v>
      </c>
      <c r="I151" s="11" t="s">
        <v>546</v>
      </c>
      <c r="J151" s="8">
        <v>8</v>
      </c>
      <c r="K151" s="8" t="s">
        <v>563</v>
      </c>
      <c r="L151" s="8">
        <v>5</v>
      </c>
      <c r="M151" s="13">
        <v>40</v>
      </c>
    </row>
    <row r="152" spans="1:13" x14ac:dyDescent="0.25">
      <c r="A152" s="7" t="s">
        <v>13</v>
      </c>
      <c r="B152" s="8" t="s">
        <v>14</v>
      </c>
      <c r="C152" s="8" t="s">
        <v>251</v>
      </c>
      <c r="D152" s="9" t="s">
        <v>252</v>
      </c>
      <c r="E152" s="8" t="s">
        <v>17</v>
      </c>
      <c r="F152" s="10">
        <v>44196</v>
      </c>
      <c r="G152" s="8">
        <v>8</v>
      </c>
      <c r="H152" s="11" t="s">
        <v>18</v>
      </c>
      <c r="I152" s="11" t="s">
        <v>546</v>
      </c>
      <c r="J152" s="8">
        <v>8</v>
      </c>
      <c r="K152" s="8" t="s">
        <v>574</v>
      </c>
      <c r="L152" s="8">
        <v>3</v>
      </c>
      <c r="M152" s="13">
        <v>24</v>
      </c>
    </row>
    <row r="153" spans="1:13" x14ac:dyDescent="0.25">
      <c r="A153" s="7" t="s">
        <v>13</v>
      </c>
      <c r="B153" s="8" t="s">
        <v>14</v>
      </c>
      <c r="C153" s="8" t="s">
        <v>251</v>
      </c>
      <c r="D153" s="9" t="s">
        <v>253</v>
      </c>
      <c r="E153" s="8" t="s">
        <v>56</v>
      </c>
      <c r="F153" s="10">
        <v>44196</v>
      </c>
      <c r="G153" s="8">
        <v>7</v>
      </c>
      <c r="H153" s="11" t="s">
        <v>18</v>
      </c>
      <c r="I153" s="11" t="s">
        <v>546</v>
      </c>
      <c r="J153" s="8">
        <v>7</v>
      </c>
      <c r="K153" s="8" t="s">
        <v>558</v>
      </c>
      <c r="L153" s="8">
        <v>3</v>
      </c>
      <c r="M153" s="13">
        <v>21</v>
      </c>
    </row>
    <row r="154" spans="1:13" x14ac:dyDescent="0.25">
      <c r="A154" s="7" t="s">
        <v>13</v>
      </c>
      <c r="B154" s="8" t="s">
        <v>14</v>
      </c>
      <c r="C154" s="8" t="s">
        <v>251</v>
      </c>
      <c r="D154" s="9" t="s">
        <v>254</v>
      </c>
      <c r="E154" s="8" t="s">
        <v>125</v>
      </c>
      <c r="F154" s="10">
        <v>44196</v>
      </c>
      <c r="G154" s="8">
        <v>6</v>
      </c>
      <c r="H154" s="11" t="s">
        <v>18</v>
      </c>
      <c r="I154" s="11" t="s">
        <v>546</v>
      </c>
      <c r="J154" s="8">
        <v>6</v>
      </c>
      <c r="K154" s="8" t="s">
        <v>559</v>
      </c>
      <c r="L154" s="8">
        <v>3</v>
      </c>
      <c r="M154" s="13">
        <v>18</v>
      </c>
    </row>
    <row r="155" spans="1:13" x14ac:dyDescent="0.25">
      <c r="A155" s="7" t="s">
        <v>13</v>
      </c>
      <c r="B155" s="8" t="s">
        <v>14</v>
      </c>
      <c r="C155" s="8" t="s">
        <v>255</v>
      </c>
      <c r="D155" s="9" t="s">
        <v>256</v>
      </c>
      <c r="E155" s="8" t="s">
        <v>59</v>
      </c>
      <c r="F155" s="10">
        <v>44196</v>
      </c>
      <c r="G155" s="8">
        <v>2</v>
      </c>
      <c r="H155" s="11" t="s">
        <v>18</v>
      </c>
      <c r="I155" s="11" t="s">
        <v>546</v>
      </c>
      <c r="J155" s="8">
        <v>2</v>
      </c>
      <c r="K155" s="8" t="s">
        <v>565</v>
      </c>
      <c r="L155" s="8">
        <v>8</v>
      </c>
      <c r="M155" s="13">
        <v>48</v>
      </c>
    </row>
    <row r="156" spans="1:13" x14ac:dyDescent="0.25">
      <c r="A156" s="7" t="s">
        <v>13</v>
      </c>
      <c r="B156" s="8" t="s">
        <v>14</v>
      </c>
      <c r="C156" s="8" t="s">
        <v>257</v>
      </c>
      <c r="D156" s="9" t="s">
        <v>55</v>
      </c>
      <c r="E156" s="8" t="s">
        <v>56</v>
      </c>
      <c r="F156" s="10">
        <v>44196</v>
      </c>
      <c r="G156" s="8">
        <v>7</v>
      </c>
      <c r="H156" s="11" t="s">
        <v>18</v>
      </c>
      <c r="I156" s="11" t="s">
        <v>546</v>
      </c>
      <c r="J156" s="8">
        <v>7</v>
      </c>
      <c r="K156" s="8" t="s">
        <v>551</v>
      </c>
      <c r="L156" s="8">
        <v>4</v>
      </c>
      <c r="M156" s="13">
        <v>28</v>
      </c>
    </row>
    <row r="157" spans="1:13" x14ac:dyDescent="0.25">
      <c r="A157" s="7" t="s">
        <v>13</v>
      </c>
      <c r="B157" s="8" t="s">
        <v>14</v>
      </c>
      <c r="C157" s="8" t="s">
        <v>257</v>
      </c>
      <c r="D157" s="9" t="s">
        <v>68</v>
      </c>
      <c r="E157" s="8" t="s">
        <v>59</v>
      </c>
      <c r="F157" s="10">
        <v>44196</v>
      </c>
      <c r="G157" s="8">
        <v>8</v>
      </c>
      <c r="H157" s="11" t="s">
        <v>18</v>
      </c>
      <c r="I157" s="11" t="s">
        <v>546</v>
      </c>
      <c r="J157" s="8">
        <v>7</v>
      </c>
      <c r="K157" s="8" t="s">
        <v>573</v>
      </c>
      <c r="L157" s="8">
        <v>4</v>
      </c>
      <c r="M157" s="13">
        <v>28</v>
      </c>
    </row>
    <row r="158" spans="1:13" x14ac:dyDescent="0.25">
      <c r="A158" s="7" t="s">
        <v>13</v>
      </c>
      <c r="B158" s="8" t="s">
        <v>14</v>
      </c>
      <c r="C158" s="8" t="s">
        <v>257</v>
      </c>
      <c r="D158" s="9" t="s">
        <v>170</v>
      </c>
      <c r="E158" s="8" t="s">
        <v>17</v>
      </c>
      <c r="F158" s="10">
        <v>44196</v>
      </c>
      <c r="G158" s="8">
        <v>7</v>
      </c>
      <c r="H158" s="11" t="s">
        <v>18</v>
      </c>
      <c r="I158" s="11" t="s">
        <v>546</v>
      </c>
      <c r="J158" s="8">
        <v>7</v>
      </c>
      <c r="K158" s="8" t="s">
        <v>572</v>
      </c>
      <c r="L158" s="8">
        <v>4</v>
      </c>
      <c r="M158" s="13">
        <v>28</v>
      </c>
    </row>
    <row r="159" spans="1:13" x14ac:dyDescent="0.25">
      <c r="A159" s="7" t="s">
        <v>13</v>
      </c>
      <c r="B159" s="8" t="s">
        <v>14</v>
      </c>
      <c r="C159" s="8" t="s">
        <v>258</v>
      </c>
      <c r="D159" s="9" t="s">
        <v>68</v>
      </c>
      <c r="E159" s="8" t="s">
        <v>59</v>
      </c>
      <c r="F159" s="10">
        <v>44195</v>
      </c>
      <c r="G159" s="8">
        <v>8</v>
      </c>
      <c r="H159" s="11" t="s">
        <v>18</v>
      </c>
      <c r="I159" s="11" t="s">
        <v>546</v>
      </c>
      <c r="J159" s="8">
        <v>8</v>
      </c>
      <c r="K159" s="8" t="s">
        <v>569</v>
      </c>
      <c r="L159" s="8">
        <v>3</v>
      </c>
      <c r="M159" s="13">
        <v>24</v>
      </c>
    </row>
    <row r="160" spans="1:13" x14ac:dyDescent="0.25">
      <c r="A160" s="7" t="s">
        <v>13</v>
      </c>
      <c r="B160" s="8" t="s">
        <v>14</v>
      </c>
      <c r="C160" s="8" t="s">
        <v>249</v>
      </c>
      <c r="D160" s="9" t="s">
        <v>55</v>
      </c>
      <c r="E160" s="8" t="s">
        <v>56</v>
      </c>
      <c r="F160" s="10">
        <v>44195</v>
      </c>
      <c r="G160" s="8">
        <v>7</v>
      </c>
      <c r="H160" s="11" t="s">
        <v>18</v>
      </c>
      <c r="I160" s="11" t="s">
        <v>546</v>
      </c>
      <c r="J160" s="8">
        <v>7</v>
      </c>
      <c r="K160" s="8" t="s">
        <v>547</v>
      </c>
      <c r="L160" s="8">
        <v>3</v>
      </c>
      <c r="M160" s="13">
        <v>21</v>
      </c>
    </row>
    <row r="161" spans="1:13" x14ac:dyDescent="0.25">
      <c r="A161" s="7" t="s">
        <v>13</v>
      </c>
      <c r="B161" s="8" t="s">
        <v>14</v>
      </c>
      <c r="C161" s="8" t="s">
        <v>258</v>
      </c>
      <c r="D161" s="9" t="s">
        <v>170</v>
      </c>
      <c r="E161" s="8" t="s">
        <v>17</v>
      </c>
      <c r="F161" s="10">
        <v>44195</v>
      </c>
      <c r="G161" s="8">
        <v>7</v>
      </c>
      <c r="H161" s="11" t="s">
        <v>18</v>
      </c>
      <c r="I161" s="11" t="s">
        <v>546</v>
      </c>
      <c r="J161" s="8">
        <v>7</v>
      </c>
      <c r="K161" s="8" t="s">
        <v>566</v>
      </c>
      <c r="L161" s="8">
        <v>3</v>
      </c>
      <c r="M161" s="13">
        <v>21</v>
      </c>
    </row>
    <row r="162" spans="1:13" x14ac:dyDescent="0.25">
      <c r="A162" s="7" t="s">
        <v>13</v>
      </c>
      <c r="B162" s="8" t="s">
        <v>14</v>
      </c>
      <c r="C162" s="8" t="s">
        <v>258</v>
      </c>
      <c r="D162" s="9" t="s">
        <v>55</v>
      </c>
      <c r="E162" s="8" t="s">
        <v>56</v>
      </c>
      <c r="F162" s="10">
        <v>44195</v>
      </c>
      <c r="G162" s="8">
        <v>7</v>
      </c>
      <c r="H162" s="11" t="s">
        <v>18</v>
      </c>
      <c r="I162" s="11" t="s">
        <v>546</v>
      </c>
      <c r="J162" s="8">
        <v>7</v>
      </c>
      <c r="K162" s="8" t="s">
        <v>548</v>
      </c>
      <c r="L162" s="8">
        <v>3</v>
      </c>
      <c r="M162" s="13">
        <v>21</v>
      </c>
    </row>
    <row r="163" spans="1:13" x14ac:dyDescent="0.25">
      <c r="A163" s="7" t="s">
        <v>13</v>
      </c>
      <c r="B163" s="8" t="s">
        <v>14</v>
      </c>
      <c r="C163" s="8" t="s">
        <v>249</v>
      </c>
      <c r="D163" s="9" t="s">
        <v>68</v>
      </c>
      <c r="E163" s="8" t="s">
        <v>59</v>
      </c>
      <c r="F163" s="10">
        <v>44195</v>
      </c>
      <c r="G163" s="8">
        <v>8</v>
      </c>
      <c r="H163" s="11" t="s">
        <v>18</v>
      </c>
      <c r="I163" s="11" t="s">
        <v>546</v>
      </c>
      <c r="J163" s="8">
        <v>8</v>
      </c>
      <c r="K163" s="8" t="s">
        <v>553</v>
      </c>
      <c r="L163" s="8">
        <v>3</v>
      </c>
      <c r="M163" s="13">
        <v>24</v>
      </c>
    </row>
    <row r="164" spans="1:13" x14ac:dyDescent="0.25">
      <c r="A164" s="7" t="s">
        <v>13</v>
      </c>
      <c r="B164" s="8" t="s">
        <v>19</v>
      </c>
      <c r="C164" s="8" t="s">
        <v>259</v>
      </c>
      <c r="D164" s="9" t="s">
        <v>260</v>
      </c>
      <c r="E164" s="8" t="s">
        <v>135</v>
      </c>
      <c r="F164" s="10">
        <v>44195</v>
      </c>
      <c r="G164" s="8">
        <v>3</v>
      </c>
      <c r="H164" s="11" t="s">
        <v>23</v>
      </c>
      <c r="I164" s="11" t="s">
        <v>546</v>
      </c>
      <c r="J164" s="8">
        <v>3</v>
      </c>
      <c r="K164" s="8" t="s">
        <v>562</v>
      </c>
      <c r="L164" s="8">
        <v>12</v>
      </c>
      <c r="M164" s="13">
        <v>108</v>
      </c>
    </row>
    <row r="165" spans="1:13" x14ac:dyDescent="0.25">
      <c r="A165" s="7" t="s">
        <v>13</v>
      </c>
      <c r="B165" s="8" t="s">
        <v>19</v>
      </c>
      <c r="C165" s="8" t="s">
        <v>261</v>
      </c>
      <c r="D165" s="9" t="s">
        <v>262</v>
      </c>
      <c r="E165" s="8" t="s">
        <v>135</v>
      </c>
      <c r="F165" s="10">
        <v>44195</v>
      </c>
      <c r="G165" s="8">
        <v>6</v>
      </c>
      <c r="H165" s="11" t="s">
        <v>23</v>
      </c>
      <c r="I165" s="11" t="s">
        <v>546</v>
      </c>
      <c r="J165" s="8">
        <v>6</v>
      </c>
      <c r="K165" s="8" t="s">
        <v>560</v>
      </c>
      <c r="L165" s="8">
        <v>3</v>
      </c>
      <c r="M165" s="13">
        <v>18</v>
      </c>
    </row>
    <row r="166" spans="1:13" x14ac:dyDescent="0.25">
      <c r="A166" s="7" t="s">
        <v>13</v>
      </c>
      <c r="B166" s="8" t="s">
        <v>19</v>
      </c>
      <c r="C166" s="8" t="s">
        <v>263</v>
      </c>
      <c r="D166" s="9" t="s">
        <v>264</v>
      </c>
      <c r="E166" s="8" t="s">
        <v>81</v>
      </c>
      <c r="F166" s="10">
        <v>44195</v>
      </c>
      <c r="G166" s="8">
        <v>13</v>
      </c>
      <c r="H166" s="11" t="s">
        <v>23</v>
      </c>
      <c r="I166" s="11" t="s">
        <v>546</v>
      </c>
      <c r="J166" s="8">
        <v>13</v>
      </c>
      <c r="K166" s="8" t="s">
        <v>562</v>
      </c>
      <c r="L166" s="8">
        <v>4</v>
      </c>
      <c r="M166" s="13">
        <v>52</v>
      </c>
    </row>
    <row r="167" spans="1:13" x14ac:dyDescent="0.25">
      <c r="A167" s="7" t="s">
        <v>13</v>
      </c>
      <c r="B167" s="8" t="s">
        <v>19</v>
      </c>
      <c r="C167" s="8" t="s">
        <v>265</v>
      </c>
      <c r="D167" s="9" t="s">
        <v>243</v>
      </c>
      <c r="E167" s="8" t="s">
        <v>248</v>
      </c>
      <c r="F167" s="10">
        <v>44193</v>
      </c>
      <c r="G167" s="8">
        <v>11</v>
      </c>
      <c r="H167" s="11" t="s">
        <v>76</v>
      </c>
      <c r="I167" s="11" t="s">
        <v>546</v>
      </c>
      <c r="J167" s="8">
        <v>11</v>
      </c>
      <c r="K167" s="8" t="s">
        <v>557</v>
      </c>
      <c r="L167" s="8">
        <v>11</v>
      </c>
      <c r="M167" s="13">
        <v>121</v>
      </c>
    </row>
    <row r="168" spans="1:13" x14ac:dyDescent="0.25">
      <c r="A168" s="7" t="s">
        <v>13</v>
      </c>
      <c r="B168" s="8" t="s">
        <v>14</v>
      </c>
      <c r="C168" s="8" t="s">
        <v>266</v>
      </c>
      <c r="D168" s="9" t="s">
        <v>68</v>
      </c>
      <c r="E168" s="8" t="s">
        <v>59</v>
      </c>
      <c r="F168" s="10">
        <v>44196</v>
      </c>
      <c r="G168" s="8">
        <v>8</v>
      </c>
      <c r="H168" s="11" t="s">
        <v>18</v>
      </c>
      <c r="I168" s="11" t="s">
        <v>546</v>
      </c>
      <c r="J168" s="8">
        <v>8</v>
      </c>
      <c r="K168" s="8" t="s">
        <v>567</v>
      </c>
      <c r="L168" s="8">
        <v>4</v>
      </c>
      <c r="M168" s="13">
        <v>32</v>
      </c>
    </row>
    <row r="169" spans="1:13" x14ac:dyDescent="0.25">
      <c r="A169" s="7" t="s">
        <v>13</v>
      </c>
      <c r="B169" s="8" t="s">
        <v>14</v>
      </c>
      <c r="C169" s="8" t="s">
        <v>266</v>
      </c>
      <c r="D169" s="9" t="s">
        <v>170</v>
      </c>
      <c r="E169" s="8" t="s">
        <v>17</v>
      </c>
      <c r="F169" s="10">
        <v>44196</v>
      </c>
      <c r="G169" s="8">
        <v>7</v>
      </c>
      <c r="H169" s="11" t="s">
        <v>18</v>
      </c>
      <c r="I169" s="11" t="s">
        <v>546</v>
      </c>
      <c r="J169" s="8">
        <v>7</v>
      </c>
      <c r="K169" s="8" t="s">
        <v>556</v>
      </c>
      <c r="L169" s="8">
        <v>4</v>
      </c>
      <c r="M169" s="13">
        <v>28</v>
      </c>
    </row>
    <row r="170" spans="1:13" x14ac:dyDescent="0.25">
      <c r="A170" s="7" t="s">
        <v>13</v>
      </c>
      <c r="B170" s="8" t="s">
        <v>14</v>
      </c>
      <c r="C170" s="8" t="s">
        <v>266</v>
      </c>
      <c r="D170" s="9" t="s">
        <v>55</v>
      </c>
      <c r="E170" s="8" t="s">
        <v>56</v>
      </c>
      <c r="F170" s="10">
        <v>44196</v>
      </c>
      <c r="G170" s="8">
        <v>7</v>
      </c>
      <c r="H170" s="11" t="s">
        <v>18</v>
      </c>
      <c r="I170" s="11" t="s">
        <v>546</v>
      </c>
      <c r="J170" s="8">
        <v>7</v>
      </c>
      <c r="K170" s="8" t="s">
        <v>548</v>
      </c>
      <c r="L170" s="8">
        <v>4</v>
      </c>
      <c r="M170" s="13">
        <v>28</v>
      </c>
    </row>
    <row r="171" spans="1:13" x14ac:dyDescent="0.25">
      <c r="A171" s="7" t="s">
        <v>13</v>
      </c>
      <c r="B171" s="8" t="s">
        <v>14</v>
      </c>
      <c r="C171" s="8" t="s">
        <v>267</v>
      </c>
      <c r="D171" s="9" t="s">
        <v>268</v>
      </c>
      <c r="E171" s="8" t="s">
        <v>17</v>
      </c>
      <c r="F171" s="10">
        <v>44196</v>
      </c>
      <c r="G171" s="8">
        <v>7</v>
      </c>
      <c r="H171" s="11" t="s">
        <v>18</v>
      </c>
      <c r="I171" s="11" t="s">
        <v>546</v>
      </c>
      <c r="J171" s="8">
        <v>7</v>
      </c>
      <c r="K171" s="8" t="s">
        <v>550</v>
      </c>
      <c r="L171" s="8">
        <v>5</v>
      </c>
      <c r="M171" s="13">
        <v>35</v>
      </c>
    </row>
    <row r="172" spans="1:13" x14ac:dyDescent="0.25">
      <c r="A172" s="7" t="s">
        <v>13</v>
      </c>
      <c r="B172" s="8" t="s">
        <v>14</v>
      </c>
      <c r="C172" s="8" t="s">
        <v>267</v>
      </c>
      <c r="D172" s="9" t="s">
        <v>269</v>
      </c>
      <c r="E172" s="8" t="s">
        <v>59</v>
      </c>
      <c r="F172" s="10">
        <v>44196</v>
      </c>
      <c r="G172" s="8">
        <v>7</v>
      </c>
      <c r="H172" s="11" t="s">
        <v>18</v>
      </c>
      <c r="I172" s="11" t="s">
        <v>546</v>
      </c>
      <c r="J172" s="8">
        <v>7</v>
      </c>
      <c r="K172" s="8" t="s">
        <v>560</v>
      </c>
      <c r="L172" s="8">
        <v>5</v>
      </c>
      <c r="M172" s="13">
        <v>35</v>
      </c>
    </row>
    <row r="173" spans="1:13" x14ac:dyDescent="0.25">
      <c r="A173" s="7" t="s">
        <v>13</v>
      </c>
      <c r="B173" s="8" t="s">
        <v>14</v>
      </c>
      <c r="C173" s="8" t="s">
        <v>267</v>
      </c>
      <c r="D173" s="9" t="s">
        <v>270</v>
      </c>
      <c r="E173" s="8" t="s">
        <v>271</v>
      </c>
      <c r="F173" s="10">
        <v>44196</v>
      </c>
      <c r="G173" s="8">
        <v>8</v>
      </c>
      <c r="H173" s="11" t="s">
        <v>18</v>
      </c>
      <c r="I173" s="11" t="s">
        <v>546</v>
      </c>
      <c r="J173" s="8">
        <v>8</v>
      </c>
      <c r="K173" s="8" t="s">
        <v>558</v>
      </c>
      <c r="L173" s="8">
        <v>5</v>
      </c>
      <c r="M173" s="13">
        <v>40</v>
      </c>
    </row>
    <row r="174" spans="1:13" x14ac:dyDescent="0.25">
      <c r="A174" s="7" t="s">
        <v>13</v>
      </c>
      <c r="B174" s="8" t="s">
        <v>14</v>
      </c>
      <c r="C174" s="8" t="s">
        <v>219</v>
      </c>
      <c r="D174" s="9" t="s">
        <v>272</v>
      </c>
      <c r="E174" s="8" t="s">
        <v>273</v>
      </c>
      <c r="F174" s="10">
        <v>44196</v>
      </c>
      <c r="G174" s="8">
        <v>4</v>
      </c>
      <c r="H174" s="11" t="s">
        <v>18</v>
      </c>
      <c r="I174" s="11" t="s">
        <v>546</v>
      </c>
      <c r="J174" s="8">
        <v>4</v>
      </c>
      <c r="K174" s="8" t="s">
        <v>561</v>
      </c>
      <c r="L174" s="8">
        <v>3</v>
      </c>
      <c r="M174" s="13">
        <v>12</v>
      </c>
    </row>
    <row r="175" spans="1:13" x14ac:dyDescent="0.25">
      <c r="A175" s="7" t="s">
        <v>13</v>
      </c>
      <c r="B175" s="8" t="s">
        <v>24</v>
      </c>
      <c r="C175" s="8" t="s">
        <v>274</v>
      </c>
      <c r="D175" s="9" t="s">
        <v>275</v>
      </c>
      <c r="E175" s="8" t="s">
        <v>276</v>
      </c>
      <c r="F175" s="10">
        <v>44196</v>
      </c>
      <c r="G175" s="8">
        <v>1</v>
      </c>
      <c r="H175" s="11" t="s">
        <v>277</v>
      </c>
      <c r="I175" s="11" t="s">
        <v>546</v>
      </c>
      <c r="J175" s="8">
        <v>1</v>
      </c>
      <c r="K175" s="8" t="s">
        <v>570</v>
      </c>
      <c r="L175" s="8">
        <v>20</v>
      </c>
      <c r="M175" s="13">
        <v>60</v>
      </c>
    </row>
    <row r="176" spans="1:13" x14ac:dyDescent="0.25">
      <c r="A176" s="7" t="s">
        <v>13</v>
      </c>
      <c r="B176" s="8" t="s">
        <v>46</v>
      </c>
      <c r="C176" s="8" t="s">
        <v>278</v>
      </c>
      <c r="D176" s="9" t="s">
        <v>48</v>
      </c>
      <c r="E176" s="8" t="s">
        <v>115</v>
      </c>
      <c r="F176" s="10">
        <v>44196</v>
      </c>
      <c r="G176" s="8">
        <v>8</v>
      </c>
      <c r="H176" s="11" t="s">
        <v>50</v>
      </c>
      <c r="I176" s="11" t="s">
        <v>546</v>
      </c>
      <c r="J176" s="8">
        <v>8</v>
      </c>
      <c r="K176" s="8" t="s">
        <v>562</v>
      </c>
      <c r="L176" s="8">
        <v>10</v>
      </c>
      <c r="M176" s="13">
        <v>80</v>
      </c>
    </row>
    <row r="177" spans="1:13" x14ac:dyDescent="0.25">
      <c r="A177" s="7" t="s">
        <v>13</v>
      </c>
      <c r="B177" s="8" t="s">
        <v>19</v>
      </c>
      <c r="C177" s="8" t="s">
        <v>279</v>
      </c>
      <c r="D177" s="9" t="s">
        <v>243</v>
      </c>
      <c r="E177" s="8" t="s">
        <v>246</v>
      </c>
      <c r="F177" s="10">
        <v>44196</v>
      </c>
      <c r="G177" s="8">
        <v>6</v>
      </c>
      <c r="H177" s="11" t="s">
        <v>76</v>
      </c>
      <c r="I177" s="11" t="s">
        <v>546</v>
      </c>
      <c r="J177" s="8">
        <v>6</v>
      </c>
      <c r="K177" s="8" t="s">
        <v>565</v>
      </c>
      <c r="L177" s="8">
        <v>10</v>
      </c>
      <c r="M177" s="13">
        <v>60</v>
      </c>
    </row>
    <row r="178" spans="1:13" x14ac:dyDescent="0.25">
      <c r="A178" s="7" t="s">
        <v>13</v>
      </c>
      <c r="B178" s="8" t="s">
        <v>46</v>
      </c>
      <c r="C178" s="8" t="s">
        <v>280</v>
      </c>
      <c r="D178" s="9" t="s">
        <v>48</v>
      </c>
      <c r="E178" s="8" t="s">
        <v>281</v>
      </c>
      <c r="F178" s="10">
        <v>44196</v>
      </c>
      <c r="G178" s="8">
        <v>8</v>
      </c>
      <c r="H178" s="11" t="s">
        <v>50</v>
      </c>
      <c r="I178" s="11" t="s">
        <v>546</v>
      </c>
      <c r="J178" s="8">
        <v>8</v>
      </c>
      <c r="K178" s="8" t="s">
        <v>553</v>
      </c>
      <c r="L178" s="8">
        <v>3</v>
      </c>
      <c r="M178" s="13">
        <v>24</v>
      </c>
    </row>
    <row r="179" spans="1:13" x14ac:dyDescent="0.25">
      <c r="A179" s="7" t="s">
        <v>13</v>
      </c>
      <c r="B179" s="8" t="s">
        <v>14</v>
      </c>
      <c r="C179" s="8" t="s">
        <v>282</v>
      </c>
      <c r="D179" s="9" t="s">
        <v>283</v>
      </c>
      <c r="E179" s="8" t="s">
        <v>125</v>
      </c>
      <c r="F179" s="10">
        <v>44189</v>
      </c>
      <c r="G179" s="8">
        <v>7</v>
      </c>
      <c r="H179" s="11" t="s">
        <v>18</v>
      </c>
      <c r="I179" s="11" t="s">
        <v>546</v>
      </c>
      <c r="J179" s="8">
        <v>6</v>
      </c>
      <c r="K179" s="8" t="s">
        <v>572</v>
      </c>
      <c r="L179" s="8">
        <v>6</v>
      </c>
      <c r="M179" s="13">
        <v>36</v>
      </c>
    </row>
    <row r="180" spans="1:13" x14ac:dyDescent="0.25">
      <c r="A180" s="7" t="s">
        <v>13</v>
      </c>
      <c r="B180" s="8" t="s">
        <v>14</v>
      </c>
      <c r="C180" s="8" t="s">
        <v>284</v>
      </c>
      <c r="D180" s="9" t="s">
        <v>55</v>
      </c>
      <c r="E180" s="8" t="s">
        <v>56</v>
      </c>
      <c r="F180" s="10">
        <v>44193</v>
      </c>
      <c r="G180" s="8">
        <v>7</v>
      </c>
      <c r="H180" s="11" t="s">
        <v>18</v>
      </c>
      <c r="I180" s="11" t="s">
        <v>546</v>
      </c>
      <c r="J180" s="8">
        <v>7</v>
      </c>
      <c r="K180" s="8" t="s">
        <v>574</v>
      </c>
      <c r="L180" s="8">
        <v>3</v>
      </c>
      <c r="M180" s="13">
        <v>21</v>
      </c>
    </row>
    <row r="181" spans="1:13" x14ac:dyDescent="0.25">
      <c r="A181" s="7" t="s">
        <v>13</v>
      </c>
      <c r="B181" s="8" t="s">
        <v>14</v>
      </c>
      <c r="C181" s="8" t="s">
        <v>285</v>
      </c>
      <c r="D181" s="9" t="s">
        <v>101</v>
      </c>
      <c r="E181" s="8" t="s">
        <v>17</v>
      </c>
      <c r="F181" s="10">
        <v>44193</v>
      </c>
      <c r="G181" s="8">
        <v>8</v>
      </c>
      <c r="H181" s="11" t="s">
        <v>18</v>
      </c>
      <c r="I181" s="11" t="s">
        <v>546</v>
      </c>
      <c r="J181" s="8">
        <v>8</v>
      </c>
      <c r="K181" s="8" t="s">
        <v>560</v>
      </c>
      <c r="L181" s="8">
        <v>3</v>
      </c>
      <c r="M181" s="13">
        <v>24</v>
      </c>
    </row>
    <row r="182" spans="1:13" x14ac:dyDescent="0.25">
      <c r="A182" s="7" t="s">
        <v>13</v>
      </c>
      <c r="B182" s="8" t="s">
        <v>14</v>
      </c>
      <c r="C182" s="8" t="s">
        <v>285</v>
      </c>
      <c r="D182" s="9" t="s">
        <v>286</v>
      </c>
      <c r="E182" s="8" t="s">
        <v>56</v>
      </c>
      <c r="F182" s="10">
        <v>44193</v>
      </c>
      <c r="G182" s="8">
        <v>10</v>
      </c>
      <c r="H182" s="11" t="s">
        <v>18</v>
      </c>
      <c r="I182" s="11" t="s">
        <v>546</v>
      </c>
      <c r="J182" s="8">
        <v>10</v>
      </c>
      <c r="K182" s="8" t="s">
        <v>555</v>
      </c>
      <c r="L182" s="8">
        <v>3</v>
      </c>
      <c r="M182" s="13">
        <v>30</v>
      </c>
    </row>
    <row r="183" spans="1:13" x14ac:dyDescent="0.25">
      <c r="A183" s="7" t="s">
        <v>13</v>
      </c>
      <c r="B183" s="8" t="s">
        <v>14</v>
      </c>
      <c r="C183" s="8" t="s">
        <v>118</v>
      </c>
      <c r="D183" s="9" t="s">
        <v>287</v>
      </c>
      <c r="E183" s="8" t="s">
        <v>59</v>
      </c>
      <c r="F183" s="10">
        <v>44193</v>
      </c>
      <c r="G183" s="8">
        <v>7</v>
      </c>
      <c r="H183" s="11" t="s">
        <v>18</v>
      </c>
      <c r="I183" s="11" t="s">
        <v>546</v>
      </c>
      <c r="J183" s="8">
        <v>7</v>
      </c>
      <c r="K183" s="8" t="s">
        <v>558</v>
      </c>
      <c r="L183" s="8">
        <v>3</v>
      </c>
      <c r="M183" s="13">
        <v>21</v>
      </c>
    </row>
    <row r="184" spans="1:13" x14ac:dyDescent="0.25">
      <c r="A184" s="7" t="s">
        <v>13</v>
      </c>
      <c r="B184" s="8" t="s">
        <v>14</v>
      </c>
      <c r="C184" s="8" t="s">
        <v>288</v>
      </c>
      <c r="D184" s="9" t="s">
        <v>289</v>
      </c>
      <c r="E184" s="8" t="s">
        <v>290</v>
      </c>
      <c r="F184" s="10">
        <v>44193</v>
      </c>
      <c r="G184" s="8">
        <v>4</v>
      </c>
      <c r="H184" s="11" t="s">
        <v>18</v>
      </c>
      <c r="I184" s="11" t="s">
        <v>546</v>
      </c>
      <c r="J184" s="8">
        <v>4</v>
      </c>
      <c r="K184" s="8" t="s">
        <v>558</v>
      </c>
      <c r="L184" s="8">
        <v>4</v>
      </c>
      <c r="M184" s="13">
        <v>16</v>
      </c>
    </row>
    <row r="185" spans="1:13" x14ac:dyDescent="0.25">
      <c r="A185" s="7" t="s">
        <v>13</v>
      </c>
      <c r="B185" s="8" t="s">
        <v>14</v>
      </c>
      <c r="C185" s="8" t="s">
        <v>291</v>
      </c>
      <c r="D185" s="9" t="s">
        <v>58</v>
      </c>
      <c r="E185" s="8" t="s">
        <v>59</v>
      </c>
      <c r="F185" s="10">
        <v>44193</v>
      </c>
      <c r="G185" s="8">
        <v>10</v>
      </c>
      <c r="H185" s="11" t="s">
        <v>18</v>
      </c>
      <c r="I185" s="11" t="s">
        <v>546</v>
      </c>
      <c r="J185" s="8">
        <v>10</v>
      </c>
      <c r="K185" s="8" t="s">
        <v>571</v>
      </c>
      <c r="L185" s="8">
        <v>3</v>
      </c>
      <c r="M185" s="13">
        <v>30</v>
      </c>
    </row>
    <row r="186" spans="1:13" x14ac:dyDescent="0.25">
      <c r="A186" s="7" t="s">
        <v>13</v>
      </c>
      <c r="B186" s="8" t="s">
        <v>14</v>
      </c>
      <c r="C186" s="8" t="s">
        <v>292</v>
      </c>
      <c r="D186" s="9" t="s">
        <v>293</v>
      </c>
      <c r="E186" s="8" t="s">
        <v>59</v>
      </c>
      <c r="F186" s="10">
        <v>44193</v>
      </c>
      <c r="G186" s="8">
        <v>6</v>
      </c>
      <c r="H186" s="11" t="s">
        <v>18</v>
      </c>
      <c r="I186" s="11" t="s">
        <v>546</v>
      </c>
      <c r="J186" s="8">
        <v>6</v>
      </c>
      <c r="K186" s="8" t="s">
        <v>561</v>
      </c>
      <c r="L186" s="8">
        <v>3</v>
      </c>
      <c r="M186" s="13">
        <v>18</v>
      </c>
    </row>
    <row r="187" spans="1:13" x14ac:dyDescent="0.25">
      <c r="A187" s="7" t="s">
        <v>13</v>
      </c>
      <c r="B187" s="8" t="s">
        <v>14</v>
      </c>
      <c r="C187" s="8" t="s">
        <v>292</v>
      </c>
      <c r="D187" s="9" t="s">
        <v>294</v>
      </c>
      <c r="E187" s="8" t="s">
        <v>17</v>
      </c>
      <c r="F187" s="10">
        <v>44193</v>
      </c>
      <c r="G187" s="8">
        <v>10</v>
      </c>
      <c r="H187" s="11" t="s">
        <v>18</v>
      </c>
      <c r="I187" s="11" t="s">
        <v>546</v>
      </c>
      <c r="J187" s="8">
        <v>10</v>
      </c>
      <c r="K187" s="8" t="s">
        <v>547</v>
      </c>
      <c r="L187" s="8">
        <v>3</v>
      </c>
      <c r="M187" s="13">
        <v>30</v>
      </c>
    </row>
    <row r="188" spans="1:13" x14ac:dyDescent="0.25">
      <c r="A188" s="7" t="s">
        <v>13</v>
      </c>
      <c r="B188" s="8" t="s">
        <v>14</v>
      </c>
      <c r="C188" s="8" t="s">
        <v>292</v>
      </c>
      <c r="D188" s="9" t="s">
        <v>295</v>
      </c>
      <c r="E188" s="8" t="s">
        <v>56</v>
      </c>
      <c r="F188" s="10">
        <v>44193</v>
      </c>
      <c r="G188" s="8">
        <v>10</v>
      </c>
      <c r="H188" s="11" t="s">
        <v>18</v>
      </c>
      <c r="I188" s="11" t="s">
        <v>546</v>
      </c>
      <c r="J188" s="8">
        <v>10</v>
      </c>
      <c r="K188" s="8" t="s">
        <v>559</v>
      </c>
      <c r="L188" s="8">
        <v>3</v>
      </c>
      <c r="M188" s="13">
        <v>30</v>
      </c>
    </row>
    <row r="189" spans="1:13" x14ac:dyDescent="0.25">
      <c r="A189" s="7" t="s">
        <v>13</v>
      </c>
      <c r="B189" s="8" t="s">
        <v>14</v>
      </c>
      <c r="C189" s="8" t="s">
        <v>296</v>
      </c>
      <c r="D189" s="9" t="s">
        <v>297</v>
      </c>
      <c r="E189" s="8" t="s">
        <v>204</v>
      </c>
      <c r="F189" s="10">
        <v>44193</v>
      </c>
      <c r="G189" s="8">
        <v>8</v>
      </c>
      <c r="H189" s="11" t="s">
        <v>18</v>
      </c>
      <c r="I189" s="11" t="s">
        <v>546</v>
      </c>
      <c r="J189" s="8">
        <v>8</v>
      </c>
      <c r="K189" s="8" t="s">
        <v>556</v>
      </c>
      <c r="L189" s="8">
        <v>4</v>
      </c>
      <c r="M189" s="13">
        <v>32</v>
      </c>
    </row>
    <row r="190" spans="1:13" x14ac:dyDescent="0.25">
      <c r="A190" s="7" t="s">
        <v>13</v>
      </c>
      <c r="B190" s="8" t="s">
        <v>14</v>
      </c>
      <c r="C190" s="8" t="s">
        <v>298</v>
      </c>
      <c r="D190" s="9" t="s">
        <v>299</v>
      </c>
      <c r="E190" s="8" t="s">
        <v>59</v>
      </c>
      <c r="F190" s="10">
        <v>44193</v>
      </c>
      <c r="G190" s="8">
        <v>11</v>
      </c>
      <c r="H190" s="11" t="s">
        <v>18</v>
      </c>
      <c r="I190" s="11" t="s">
        <v>546</v>
      </c>
      <c r="J190" s="8">
        <v>11</v>
      </c>
      <c r="K190" s="8" t="s">
        <v>550</v>
      </c>
      <c r="L190" s="8">
        <v>4</v>
      </c>
      <c r="M190" s="13">
        <v>44</v>
      </c>
    </row>
    <row r="191" spans="1:13" x14ac:dyDescent="0.25">
      <c r="A191" s="7" t="s">
        <v>13</v>
      </c>
      <c r="B191" s="8" t="s">
        <v>14</v>
      </c>
      <c r="C191" s="8" t="s">
        <v>298</v>
      </c>
      <c r="D191" s="9" t="s">
        <v>300</v>
      </c>
      <c r="E191" s="8" t="s">
        <v>17</v>
      </c>
      <c r="F191" s="10">
        <v>44193</v>
      </c>
      <c r="G191" s="8">
        <v>11</v>
      </c>
      <c r="H191" s="11" t="s">
        <v>18</v>
      </c>
      <c r="I191" s="11" t="s">
        <v>546</v>
      </c>
      <c r="J191" s="8">
        <v>11</v>
      </c>
      <c r="K191" s="8" t="s">
        <v>566</v>
      </c>
      <c r="L191" s="8">
        <v>4</v>
      </c>
      <c r="M191" s="13">
        <v>44</v>
      </c>
    </row>
    <row r="192" spans="1:13" x14ac:dyDescent="0.25">
      <c r="A192" s="7" t="s">
        <v>13</v>
      </c>
      <c r="B192" s="8" t="s">
        <v>19</v>
      </c>
      <c r="C192" s="8" t="s">
        <v>301</v>
      </c>
      <c r="D192" s="9" t="s">
        <v>302</v>
      </c>
      <c r="E192" s="8" t="s">
        <v>81</v>
      </c>
      <c r="F192" s="10">
        <v>44194</v>
      </c>
      <c r="G192" s="8">
        <v>5</v>
      </c>
      <c r="H192" s="11" t="s">
        <v>42</v>
      </c>
      <c r="I192" s="11" t="s">
        <v>546</v>
      </c>
      <c r="J192" s="8">
        <v>5</v>
      </c>
      <c r="K192" s="8" t="s">
        <v>549</v>
      </c>
      <c r="L192" s="8">
        <v>16</v>
      </c>
      <c r="M192" s="13">
        <v>80</v>
      </c>
    </row>
    <row r="193" spans="1:13" x14ac:dyDescent="0.25">
      <c r="A193" s="7" t="s">
        <v>13</v>
      </c>
      <c r="B193" s="8" t="s">
        <v>46</v>
      </c>
      <c r="C193" s="8" t="s">
        <v>303</v>
      </c>
      <c r="D193" s="9" t="s">
        <v>48</v>
      </c>
      <c r="E193" s="8" t="s">
        <v>304</v>
      </c>
      <c r="F193" s="10">
        <v>44194</v>
      </c>
      <c r="G193" s="8">
        <v>8</v>
      </c>
      <c r="H193" s="11" t="s">
        <v>50</v>
      </c>
      <c r="I193" s="11" t="s">
        <v>546</v>
      </c>
      <c r="J193" s="8">
        <v>8</v>
      </c>
      <c r="K193" s="8" t="s">
        <v>568</v>
      </c>
      <c r="L193" s="8">
        <v>8</v>
      </c>
      <c r="M193" s="13">
        <v>64</v>
      </c>
    </row>
    <row r="194" spans="1:13" x14ac:dyDescent="0.25">
      <c r="A194" s="7" t="s">
        <v>13</v>
      </c>
      <c r="B194" s="8" t="s">
        <v>19</v>
      </c>
      <c r="C194" s="8" t="s">
        <v>305</v>
      </c>
      <c r="D194" s="9" t="s">
        <v>306</v>
      </c>
      <c r="E194" s="8" t="s">
        <v>81</v>
      </c>
      <c r="F194" s="10">
        <v>44194</v>
      </c>
      <c r="G194" s="8">
        <v>4</v>
      </c>
      <c r="H194" s="11" t="s">
        <v>42</v>
      </c>
      <c r="I194" s="11" t="s">
        <v>546</v>
      </c>
      <c r="J194" s="8">
        <v>4</v>
      </c>
      <c r="K194" s="8" t="s">
        <v>568</v>
      </c>
      <c r="L194" s="8">
        <v>3</v>
      </c>
      <c r="M194" s="13">
        <v>12</v>
      </c>
    </row>
    <row r="195" spans="1:13" x14ac:dyDescent="0.25">
      <c r="A195" s="7" t="s">
        <v>13</v>
      </c>
      <c r="B195" s="8" t="s">
        <v>46</v>
      </c>
      <c r="C195" s="8" t="s">
        <v>307</v>
      </c>
      <c r="D195" s="9" t="s">
        <v>308</v>
      </c>
      <c r="E195" s="8" t="s">
        <v>161</v>
      </c>
      <c r="F195" s="10">
        <v>44195</v>
      </c>
      <c r="G195" s="8">
        <v>4</v>
      </c>
      <c r="H195" s="11" t="s">
        <v>99</v>
      </c>
      <c r="I195" s="11" t="s">
        <v>546</v>
      </c>
      <c r="J195" s="8">
        <v>4</v>
      </c>
      <c r="K195" s="8" t="s">
        <v>558</v>
      </c>
      <c r="L195" s="8">
        <v>3</v>
      </c>
      <c r="M195" s="13">
        <v>12</v>
      </c>
    </row>
    <row r="196" spans="1:13" x14ac:dyDescent="0.25">
      <c r="A196" s="7" t="s">
        <v>13</v>
      </c>
      <c r="B196" s="8" t="s">
        <v>24</v>
      </c>
      <c r="C196" s="8" t="s">
        <v>309</v>
      </c>
      <c r="D196" s="9" t="s">
        <v>310</v>
      </c>
      <c r="E196" s="8" t="s">
        <v>27</v>
      </c>
      <c r="F196" s="10">
        <v>44193</v>
      </c>
      <c r="G196" s="8">
        <v>2</v>
      </c>
      <c r="H196" s="11" t="s">
        <v>28</v>
      </c>
      <c r="I196" s="11" t="s">
        <v>546</v>
      </c>
      <c r="J196" s="8">
        <v>2</v>
      </c>
      <c r="K196" s="8" t="s">
        <v>567</v>
      </c>
      <c r="L196" s="8">
        <v>7</v>
      </c>
      <c r="M196" s="13">
        <v>42</v>
      </c>
    </row>
    <row r="197" spans="1:13" x14ac:dyDescent="0.25">
      <c r="A197" s="7" t="s">
        <v>13</v>
      </c>
      <c r="B197" s="8" t="s">
        <v>24</v>
      </c>
      <c r="C197" s="8" t="s">
        <v>311</v>
      </c>
      <c r="D197" s="9" t="s">
        <v>312</v>
      </c>
      <c r="E197" s="8" t="s">
        <v>27</v>
      </c>
      <c r="F197" s="10">
        <v>44193</v>
      </c>
      <c r="G197" s="8">
        <v>1</v>
      </c>
      <c r="H197" s="11" t="s">
        <v>28</v>
      </c>
      <c r="I197" s="11" t="s">
        <v>546</v>
      </c>
      <c r="J197" s="8">
        <v>1</v>
      </c>
      <c r="K197" s="8" t="s">
        <v>567</v>
      </c>
      <c r="L197" s="8">
        <v>2</v>
      </c>
      <c r="M197" s="13">
        <v>6</v>
      </c>
    </row>
    <row r="198" spans="1:13" x14ac:dyDescent="0.25">
      <c r="A198" s="7" t="s">
        <v>13</v>
      </c>
      <c r="B198" s="8" t="s">
        <v>24</v>
      </c>
      <c r="C198" s="8" t="s">
        <v>313</v>
      </c>
      <c r="D198" s="9" t="s">
        <v>312</v>
      </c>
      <c r="E198" s="8" t="s">
        <v>27</v>
      </c>
      <c r="F198" s="10">
        <v>44193</v>
      </c>
      <c r="G198" s="8">
        <v>1</v>
      </c>
      <c r="H198" s="11" t="s">
        <v>28</v>
      </c>
      <c r="I198" s="11" t="s">
        <v>546</v>
      </c>
      <c r="J198" s="8">
        <v>1</v>
      </c>
      <c r="K198" s="8" t="s">
        <v>554</v>
      </c>
      <c r="L198" s="8">
        <v>3</v>
      </c>
      <c r="M198" s="13">
        <v>9</v>
      </c>
    </row>
    <row r="199" spans="1:13" x14ac:dyDescent="0.25">
      <c r="A199" s="7" t="s">
        <v>13</v>
      </c>
      <c r="B199" s="8" t="s">
        <v>24</v>
      </c>
      <c r="C199" s="8" t="s">
        <v>314</v>
      </c>
      <c r="D199" s="9" t="s">
        <v>315</v>
      </c>
      <c r="E199" s="8" t="s">
        <v>316</v>
      </c>
      <c r="F199" s="10">
        <v>44193</v>
      </c>
      <c r="G199" s="8">
        <v>1</v>
      </c>
      <c r="H199" s="11" t="s">
        <v>28</v>
      </c>
      <c r="I199" s="11" t="s">
        <v>546</v>
      </c>
      <c r="J199" s="8">
        <v>1</v>
      </c>
      <c r="K199" s="8" t="s">
        <v>567</v>
      </c>
      <c r="L199" s="8">
        <v>13</v>
      </c>
      <c r="M199" s="13">
        <v>39</v>
      </c>
    </row>
    <row r="200" spans="1:13" x14ac:dyDescent="0.25">
      <c r="A200" s="7" t="s">
        <v>13</v>
      </c>
      <c r="B200" s="8" t="s">
        <v>14</v>
      </c>
      <c r="C200" s="8" t="s">
        <v>317</v>
      </c>
      <c r="D200" s="9" t="s">
        <v>318</v>
      </c>
      <c r="E200" s="8" t="s">
        <v>115</v>
      </c>
      <c r="F200" s="10">
        <v>44194</v>
      </c>
      <c r="G200" s="8">
        <v>2</v>
      </c>
      <c r="H200" s="11" t="s">
        <v>18</v>
      </c>
      <c r="I200" s="11" t="s">
        <v>546</v>
      </c>
      <c r="J200" s="8">
        <v>2</v>
      </c>
      <c r="K200" s="8" t="s">
        <v>565</v>
      </c>
      <c r="L200" s="8">
        <v>7</v>
      </c>
      <c r="M200" s="13">
        <v>42</v>
      </c>
    </row>
    <row r="201" spans="1:13" x14ac:dyDescent="0.25">
      <c r="A201" s="7" t="s">
        <v>13</v>
      </c>
      <c r="B201" s="8" t="s">
        <v>14</v>
      </c>
      <c r="C201" s="8" t="s">
        <v>319</v>
      </c>
      <c r="D201" s="9" t="s">
        <v>320</v>
      </c>
      <c r="E201" s="8" t="s">
        <v>321</v>
      </c>
      <c r="F201" s="10">
        <v>44194</v>
      </c>
      <c r="G201" s="8">
        <v>1</v>
      </c>
      <c r="H201" s="11" t="s">
        <v>18</v>
      </c>
      <c r="I201" s="11" t="s">
        <v>546</v>
      </c>
      <c r="J201" s="8">
        <v>1</v>
      </c>
      <c r="K201" s="8" t="s">
        <v>553</v>
      </c>
      <c r="L201" s="8">
        <v>7</v>
      </c>
      <c r="M201" s="13">
        <v>21</v>
      </c>
    </row>
    <row r="202" spans="1:13" x14ac:dyDescent="0.25">
      <c r="A202" s="7" t="s">
        <v>13</v>
      </c>
      <c r="B202" s="8" t="s">
        <v>14</v>
      </c>
      <c r="C202" s="8" t="s">
        <v>322</v>
      </c>
      <c r="D202" s="9" t="s">
        <v>68</v>
      </c>
      <c r="E202" s="8" t="s">
        <v>59</v>
      </c>
      <c r="F202" s="10">
        <v>44194</v>
      </c>
      <c r="G202" s="8">
        <v>8</v>
      </c>
      <c r="H202" s="11" t="s">
        <v>18</v>
      </c>
      <c r="I202" s="11" t="s">
        <v>546</v>
      </c>
      <c r="J202" s="8">
        <v>8</v>
      </c>
      <c r="K202" s="8" t="s">
        <v>558</v>
      </c>
      <c r="L202" s="8">
        <v>3</v>
      </c>
      <c r="M202" s="13">
        <v>24</v>
      </c>
    </row>
    <row r="203" spans="1:13" x14ac:dyDescent="0.25">
      <c r="A203" s="7" t="s">
        <v>13</v>
      </c>
      <c r="B203" s="8" t="s">
        <v>14</v>
      </c>
      <c r="C203" s="8" t="s">
        <v>322</v>
      </c>
      <c r="D203" s="9" t="s">
        <v>170</v>
      </c>
      <c r="E203" s="8" t="s">
        <v>17</v>
      </c>
      <c r="F203" s="10">
        <v>44194</v>
      </c>
      <c r="G203" s="8">
        <v>7</v>
      </c>
      <c r="H203" s="11" t="s">
        <v>18</v>
      </c>
      <c r="I203" s="11" t="s">
        <v>546</v>
      </c>
      <c r="J203" s="8">
        <v>7</v>
      </c>
      <c r="K203" s="8" t="s">
        <v>567</v>
      </c>
      <c r="L203" s="8">
        <v>3</v>
      </c>
      <c r="M203" s="13">
        <v>21</v>
      </c>
    </row>
    <row r="204" spans="1:13" x14ac:dyDescent="0.25">
      <c r="A204" s="7" t="s">
        <v>13</v>
      </c>
      <c r="B204" s="8" t="s">
        <v>14</v>
      </c>
      <c r="C204" s="8" t="s">
        <v>322</v>
      </c>
      <c r="D204" s="9" t="s">
        <v>55</v>
      </c>
      <c r="E204" s="8" t="s">
        <v>56</v>
      </c>
      <c r="F204" s="10">
        <v>44194</v>
      </c>
      <c r="G204" s="8">
        <v>7</v>
      </c>
      <c r="H204" s="11" t="s">
        <v>18</v>
      </c>
      <c r="I204" s="11" t="s">
        <v>546</v>
      </c>
      <c r="J204" s="8">
        <v>6</v>
      </c>
      <c r="K204" s="8" t="s">
        <v>573</v>
      </c>
      <c r="L204" s="8">
        <v>3</v>
      </c>
      <c r="M204" s="13">
        <v>18</v>
      </c>
    </row>
    <row r="205" spans="1:13" x14ac:dyDescent="0.25">
      <c r="A205" s="7" t="s">
        <v>13</v>
      </c>
      <c r="B205" s="8" t="s">
        <v>14</v>
      </c>
      <c r="C205" s="8" t="s">
        <v>323</v>
      </c>
      <c r="D205" s="9" t="s">
        <v>253</v>
      </c>
      <c r="E205" s="8" t="s">
        <v>17</v>
      </c>
      <c r="F205" s="10">
        <v>44193</v>
      </c>
      <c r="G205" s="8">
        <v>7</v>
      </c>
      <c r="H205" s="11" t="s">
        <v>18</v>
      </c>
      <c r="I205" s="11" t="s">
        <v>546</v>
      </c>
      <c r="J205" s="8">
        <v>7</v>
      </c>
      <c r="K205" s="8" t="s">
        <v>548</v>
      </c>
      <c r="L205" s="8">
        <v>3</v>
      </c>
      <c r="M205" s="13">
        <v>21</v>
      </c>
    </row>
    <row r="206" spans="1:13" x14ac:dyDescent="0.25">
      <c r="A206" s="7" t="s">
        <v>13</v>
      </c>
      <c r="B206" s="8" t="s">
        <v>14</v>
      </c>
      <c r="C206" s="8" t="s">
        <v>324</v>
      </c>
      <c r="D206" s="9" t="s">
        <v>325</v>
      </c>
      <c r="E206" s="8" t="s">
        <v>56</v>
      </c>
      <c r="F206" s="10">
        <v>44193</v>
      </c>
      <c r="G206" s="8">
        <v>7</v>
      </c>
      <c r="H206" s="11" t="s">
        <v>18</v>
      </c>
      <c r="I206" s="11" t="s">
        <v>546</v>
      </c>
      <c r="J206" s="8">
        <v>7</v>
      </c>
      <c r="K206" s="8" t="s">
        <v>563</v>
      </c>
      <c r="L206" s="8">
        <v>4</v>
      </c>
      <c r="M206" s="13">
        <v>28</v>
      </c>
    </row>
    <row r="207" spans="1:13" x14ac:dyDescent="0.25">
      <c r="A207" s="7" t="s">
        <v>13</v>
      </c>
      <c r="B207" s="8" t="s">
        <v>14</v>
      </c>
      <c r="C207" s="8" t="s">
        <v>282</v>
      </c>
      <c r="D207" s="9" t="s">
        <v>326</v>
      </c>
      <c r="E207" s="8" t="s">
        <v>290</v>
      </c>
      <c r="F207" s="10">
        <v>44189</v>
      </c>
      <c r="G207" s="8">
        <v>8</v>
      </c>
      <c r="H207" s="11" t="s">
        <v>18</v>
      </c>
      <c r="I207" s="11" t="s">
        <v>546</v>
      </c>
      <c r="J207" s="8">
        <v>8</v>
      </c>
      <c r="K207" s="8" t="s">
        <v>548</v>
      </c>
      <c r="L207" s="8">
        <v>6</v>
      </c>
      <c r="M207" s="13">
        <v>48</v>
      </c>
    </row>
    <row r="208" spans="1:13" x14ac:dyDescent="0.25">
      <c r="A208" s="7" t="s">
        <v>13</v>
      </c>
      <c r="B208" s="8" t="s">
        <v>14</v>
      </c>
      <c r="C208" s="8" t="s">
        <v>284</v>
      </c>
      <c r="D208" s="9" t="s">
        <v>170</v>
      </c>
      <c r="E208" s="8" t="s">
        <v>17</v>
      </c>
      <c r="F208" s="10">
        <v>44193</v>
      </c>
      <c r="G208" s="8">
        <v>7</v>
      </c>
      <c r="H208" s="11" t="s">
        <v>18</v>
      </c>
      <c r="I208" s="11" t="s">
        <v>546</v>
      </c>
      <c r="J208" s="8">
        <v>7</v>
      </c>
      <c r="K208" s="8" t="s">
        <v>566</v>
      </c>
      <c r="L208" s="8">
        <v>3</v>
      </c>
      <c r="M208" s="13">
        <v>21</v>
      </c>
    </row>
    <row r="209" spans="1:13" x14ac:dyDescent="0.25">
      <c r="A209" s="7" t="s">
        <v>13</v>
      </c>
      <c r="B209" s="8" t="s">
        <v>14</v>
      </c>
      <c r="C209" s="8" t="s">
        <v>327</v>
      </c>
      <c r="D209" s="9" t="s">
        <v>328</v>
      </c>
      <c r="E209" s="8" t="s">
        <v>17</v>
      </c>
      <c r="F209" s="10">
        <v>44193</v>
      </c>
      <c r="G209" s="8">
        <v>12</v>
      </c>
      <c r="H209" s="11" t="s">
        <v>18</v>
      </c>
      <c r="I209" s="11" t="s">
        <v>546</v>
      </c>
      <c r="J209" s="8">
        <v>12</v>
      </c>
      <c r="K209" s="8" t="s">
        <v>565</v>
      </c>
      <c r="L209" s="8">
        <v>8</v>
      </c>
      <c r="M209" s="13">
        <v>96</v>
      </c>
    </row>
    <row r="210" spans="1:13" x14ac:dyDescent="0.25">
      <c r="A210" s="7" t="s">
        <v>13</v>
      </c>
      <c r="B210" s="8" t="s">
        <v>14</v>
      </c>
      <c r="C210" s="8" t="s">
        <v>327</v>
      </c>
      <c r="D210" s="9" t="s">
        <v>329</v>
      </c>
      <c r="E210" s="8" t="s">
        <v>72</v>
      </c>
      <c r="F210" s="10">
        <v>44193</v>
      </c>
      <c r="G210" s="8">
        <v>2</v>
      </c>
      <c r="H210" s="11" t="s">
        <v>18</v>
      </c>
      <c r="I210" s="11" t="s">
        <v>546</v>
      </c>
      <c r="J210" s="8">
        <v>2</v>
      </c>
      <c r="K210" s="8" t="s">
        <v>564</v>
      </c>
      <c r="L210" s="8">
        <v>8</v>
      </c>
      <c r="M210" s="13">
        <v>48</v>
      </c>
    </row>
    <row r="211" spans="1:13" x14ac:dyDescent="0.25">
      <c r="A211" s="7" t="s">
        <v>13</v>
      </c>
      <c r="B211" s="8" t="s">
        <v>14</v>
      </c>
      <c r="C211" s="8" t="s">
        <v>330</v>
      </c>
      <c r="D211" s="9" t="s">
        <v>331</v>
      </c>
      <c r="E211" s="8" t="s">
        <v>17</v>
      </c>
      <c r="F211" s="10">
        <v>44193</v>
      </c>
      <c r="G211" s="8">
        <v>1</v>
      </c>
      <c r="H211" s="11" t="s">
        <v>18</v>
      </c>
      <c r="I211" s="11" t="s">
        <v>546</v>
      </c>
      <c r="J211" s="8">
        <v>1</v>
      </c>
      <c r="K211" s="8" t="s">
        <v>553</v>
      </c>
      <c r="L211" s="8">
        <v>12</v>
      </c>
      <c r="M211" s="13">
        <v>36</v>
      </c>
    </row>
    <row r="212" spans="1:13" x14ac:dyDescent="0.25">
      <c r="A212" s="7" t="s">
        <v>13</v>
      </c>
      <c r="B212" s="8" t="s">
        <v>14</v>
      </c>
      <c r="C212" s="8" t="s">
        <v>224</v>
      </c>
      <c r="D212" s="9" t="s">
        <v>331</v>
      </c>
      <c r="E212" s="8" t="s">
        <v>56</v>
      </c>
      <c r="F212" s="10">
        <v>44193</v>
      </c>
      <c r="G212" s="8">
        <v>1</v>
      </c>
      <c r="H212" s="11" t="s">
        <v>18</v>
      </c>
      <c r="I212" s="11" t="s">
        <v>546</v>
      </c>
      <c r="J212" s="8">
        <v>1</v>
      </c>
      <c r="K212" s="8" t="s">
        <v>568</v>
      </c>
      <c r="L212" s="8">
        <v>8</v>
      </c>
      <c r="M212" s="13">
        <v>24</v>
      </c>
    </row>
    <row r="213" spans="1:13" x14ac:dyDescent="0.25">
      <c r="A213" s="7" t="s">
        <v>13</v>
      </c>
      <c r="B213" s="8" t="s">
        <v>14</v>
      </c>
      <c r="C213" s="8" t="s">
        <v>332</v>
      </c>
      <c r="D213" s="9" t="s">
        <v>333</v>
      </c>
      <c r="E213" s="8" t="s">
        <v>273</v>
      </c>
      <c r="F213" s="10">
        <v>44193</v>
      </c>
      <c r="G213" s="8">
        <v>2</v>
      </c>
      <c r="H213" s="11" t="s">
        <v>18</v>
      </c>
      <c r="I213" s="11" t="s">
        <v>546</v>
      </c>
      <c r="J213" s="8">
        <v>2</v>
      </c>
      <c r="K213" s="8" t="s">
        <v>565</v>
      </c>
      <c r="L213" s="8">
        <v>8</v>
      </c>
      <c r="M213" s="13">
        <v>48</v>
      </c>
    </row>
    <row r="214" spans="1:13" x14ac:dyDescent="0.25">
      <c r="A214" s="7" t="s">
        <v>13</v>
      </c>
      <c r="B214" s="8" t="s">
        <v>14</v>
      </c>
      <c r="C214" s="8" t="s">
        <v>334</v>
      </c>
      <c r="D214" s="9" t="s">
        <v>335</v>
      </c>
      <c r="E214" s="8" t="s">
        <v>49</v>
      </c>
      <c r="F214" s="10">
        <v>44193</v>
      </c>
      <c r="G214" s="8">
        <v>3</v>
      </c>
      <c r="H214" s="11" t="s">
        <v>18</v>
      </c>
      <c r="I214" s="11" t="s">
        <v>546</v>
      </c>
      <c r="J214" s="8">
        <v>3</v>
      </c>
      <c r="K214" s="8" t="s">
        <v>570</v>
      </c>
      <c r="L214" s="8">
        <v>6</v>
      </c>
      <c r="M214" s="13">
        <v>54</v>
      </c>
    </row>
    <row r="215" spans="1:13" x14ac:dyDescent="0.25">
      <c r="A215" s="7" t="s">
        <v>13</v>
      </c>
      <c r="B215" s="8" t="s">
        <v>46</v>
      </c>
      <c r="C215" s="8" t="s">
        <v>227</v>
      </c>
      <c r="D215" s="9" t="s">
        <v>336</v>
      </c>
      <c r="E215" s="8" t="s">
        <v>98</v>
      </c>
      <c r="F215" s="10">
        <v>44193</v>
      </c>
      <c r="G215" s="8">
        <v>2</v>
      </c>
      <c r="H215" s="11" t="s">
        <v>50</v>
      </c>
      <c r="I215" s="11" t="s">
        <v>546</v>
      </c>
      <c r="J215" s="8">
        <v>2</v>
      </c>
      <c r="K215" s="8" t="s">
        <v>553</v>
      </c>
      <c r="L215" s="8">
        <v>4.5</v>
      </c>
      <c r="M215" s="13">
        <v>27</v>
      </c>
    </row>
    <row r="216" spans="1:13" x14ac:dyDescent="0.25">
      <c r="A216" s="7" t="s">
        <v>13</v>
      </c>
      <c r="B216" s="8" t="s">
        <v>19</v>
      </c>
      <c r="C216" s="8" t="s">
        <v>337</v>
      </c>
      <c r="D216" s="9" t="s">
        <v>83</v>
      </c>
      <c r="E216" s="8" t="s">
        <v>81</v>
      </c>
      <c r="F216" s="10">
        <v>44191</v>
      </c>
      <c r="G216" s="8">
        <v>2</v>
      </c>
      <c r="H216" s="11" t="s">
        <v>42</v>
      </c>
      <c r="I216" s="11" t="s">
        <v>546</v>
      </c>
      <c r="J216" s="8">
        <v>2</v>
      </c>
      <c r="K216" s="8" t="s">
        <v>562</v>
      </c>
      <c r="L216" s="8">
        <v>15</v>
      </c>
      <c r="M216" s="13">
        <v>90</v>
      </c>
    </row>
    <row r="217" spans="1:13" x14ac:dyDescent="0.25">
      <c r="A217" s="7" t="s">
        <v>13</v>
      </c>
      <c r="B217" s="8" t="s">
        <v>46</v>
      </c>
      <c r="C217" s="8" t="s">
        <v>338</v>
      </c>
      <c r="D217" s="9" t="s">
        <v>48</v>
      </c>
      <c r="E217" s="8" t="s">
        <v>49</v>
      </c>
      <c r="F217" s="10">
        <v>44193</v>
      </c>
      <c r="G217" s="8">
        <v>8</v>
      </c>
      <c r="H217" s="11" t="s">
        <v>50</v>
      </c>
      <c r="I217" s="11" t="s">
        <v>546</v>
      </c>
      <c r="J217" s="8">
        <v>8</v>
      </c>
      <c r="K217" s="8" t="s">
        <v>558</v>
      </c>
      <c r="L217" s="8">
        <v>2</v>
      </c>
      <c r="M217" s="13">
        <v>16</v>
      </c>
    </row>
    <row r="218" spans="1:13" x14ac:dyDescent="0.25">
      <c r="A218" s="7" t="s">
        <v>13</v>
      </c>
      <c r="B218" s="8" t="s">
        <v>19</v>
      </c>
      <c r="C218" s="8" t="s">
        <v>339</v>
      </c>
      <c r="D218" s="9" t="s">
        <v>340</v>
      </c>
      <c r="E218" s="8" t="s">
        <v>135</v>
      </c>
      <c r="F218" s="10">
        <v>44193</v>
      </c>
      <c r="G218" s="8">
        <v>2</v>
      </c>
      <c r="H218" s="11" t="s">
        <v>42</v>
      </c>
      <c r="I218" s="11" t="s">
        <v>546</v>
      </c>
      <c r="J218" s="8">
        <v>2</v>
      </c>
      <c r="K218" s="8" t="s">
        <v>567</v>
      </c>
      <c r="L218" s="8">
        <v>3</v>
      </c>
      <c r="M218" s="13">
        <v>18</v>
      </c>
    </row>
    <row r="219" spans="1:13" x14ac:dyDescent="0.25">
      <c r="A219" s="7" t="s">
        <v>13</v>
      </c>
      <c r="B219" s="8" t="s">
        <v>46</v>
      </c>
      <c r="C219" s="8" t="s">
        <v>341</v>
      </c>
      <c r="D219" s="9" t="s">
        <v>308</v>
      </c>
      <c r="E219" s="8" t="s">
        <v>281</v>
      </c>
      <c r="F219" s="10">
        <v>44193</v>
      </c>
      <c r="G219" s="8">
        <v>4</v>
      </c>
      <c r="H219" s="11" t="s">
        <v>99</v>
      </c>
      <c r="I219" s="11" t="s">
        <v>546</v>
      </c>
      <c r="J219" s="8">
        <v>4</v>
      </c>
      <c r="K219" s="8" t="s">
        <v>570</v>
      </c>
      <c r="L219" s="8">
        <v>6</v>
      </c>
      <c r="M219" s="13">
        <v>24</v>
      </c>
    </row>
    <row r="220" spans="1:13" x14ac:dyDescent="0.25">
      <c r="A220" s="7" t="s">
        <v>13</v>
      </c>
      <c r="B220" s="8" t="s">
        <v>19</v>
      </c>
      <c r="C220" s="8" t="s">
        <v>279</v>
      </c>
      <c r="D220" s="9" t="s">
        <v>342</v>
      </c>
      <c r="E220" s="8" t="s">
        <v>343</v>
      </c>
      <c r="F220" s="10">
        <v>44193</v>
      </c>
      <c r="G220" s="8">
        <v>5</v>
      </c>
      <c r="H220" s="11" t="s">
        <v>23</v>
      </c>
      <c r="I220" s="11" t="s">
        <v>546</v>
      </c>
      <c r="J220" s="8">
        <v>5</v>
      </c>
      <c r="K220" s="8" t="s">
        <v>565</v>
      </c>
      <c r="L220" s="8">
        <v>10</v>
      </c>
      <c r="M220" s="13">
        <v>50</v>
      </c>
    </row>
    <row r="221" spans="1:13" x14ac:dyDescent="0.25">
      <c r="A221" s="7" t="s">
        <v>13</v>
      </c>
      <c r="B221" s="8" t="s">
        <v>19</v>
      </c>
      <c r="C221" s="8" t="s">
        <v>337</v>
      </c>
      <c r="D221" s="9" t="s">
        <v>344</v>
      </c>
      <c r="E221" s="8" t="s">
        <v>135</v>
      </c>
      <c r="F221" s="10">
        <v>44193</v>
      </c>
      <c r="G221" s="8">
        <v>6</v>
      </c>
      <c r="H221" s="11" t="s">
        <v>42</v>
      </c>
      <c r="I221" s="11" t="s">
        <v>546</v>
      </c>
      <c r="J221" s="8">
        <v>6</v>
      </c>
      <c r="K221" s="8" t="s">
        <v>562</v>
      </c>
      <c r="L221" s="8">
        <v>15</v>
      </c>
      <c r="M221" s="13">
        <v>90</v>
      </c>
    </row>
    <row r="222" spans="1:13" x14ac:dyDescent="0.25">
      <c r="A222" s="7" t="s">
        <v>13</v>
      </c>
      <c r="B222" s="8" t="s">
        <v>14</v>
      </c>
      <c r="C222" s="8" t="s">
        <v>284</v>
      </c>
      <c r="D222" s="9" t="s">
        <v>68</v>
      </c>
      <c r="E222" s="8" t="s">
        <v>59</v>
      </c>
      <c r="F222" s="10">
        <v>44193</v>
      </c>
      <c r="G222" s="8">
        <v>8</v>
      </c>
      <c r="H222" s="11" t="s">
        <v>18</v>
      </c>
      <c r="I222" s="11" t="s">
        <v>546</v>
      </c>
      <c r="J222" s="8">
        <v>8</v>
      </c>
      <c r="K222" s="8" t="s">
        <v>551</v>
      </c>
      <c r="L222" s="8">
        <v>3</v>
      </c>
      <c r="M222" s="13">
        <v>24</v>
      </c>
    </row>
    <row r="223" spans="1:13" x14ac:dyDescent="0.25">
      <c r="A223" s="7" t="s">
        <v>13</v>
      </c>
      <c r="B223" s="8" t="s">
        <v>14</v>
      </c>
      <c r="C223" s="8" t="s">
        <v>345</v>
      </c>
      <c r="D223" s="9" t="s">
        <v>346</v>
      </c>
      <c r="E223" s="8" t="s">
        <v>17</v>
      </c>
      <c r="F223" s="10">
        <v>44193</v>
      </c>
      <c r="G223" s="8">
        <v>7</v>
      </c>
      <c r="H223" s="11" t="s">
        <v>18</v>
      </c>
      <c r="I223" s="11" t="s">
        <v>546</v>
      </c>
      <c r="J223" s="8">
        <v>7</v>
      </c>
      <c r="K223" s="8" t="s">
        <v>552</v>
      </c>
      <c r="L223" s="8">
        <v>3</v>
      </c>
      <c r="M223" s="13">
        <v>21</v>
      </c>
    </row>
    <row r="224" spans="1:13" x14ac:dyDescent="0.25">
      <c r="A224" s="7" t="s">
        <v>13</v>
      </c>
      <c r="B224" s="8" t="s">
        <v>14</v>
      </c>
      <c r="C224" s="8" t="s">
        <v>347</v>
      </c>
      <c r="D224" s="9" t="s">
        <v>101</v>
      </c>
      <c r="E224" s="8" t="s">
        <v>56</v>
      </c>
      <c r="F224" s="10">
        <v>44193</v>
      </c>
      <c r="G224" s="8">
        <v>3</v>
      </c>
      <c r="H224" s="11" t="s">
        <v>348</v>
      </c>
      <c r="I224" s="11" t="s">
        <v>546</v>
      </c>
      <c r="J224" s="8">
        <v>3</v>
      </c>
      <c r="K224" s="8" t="s">
        <v>561</v>
      </c>
      <c r="L224" s="8">
        <v>4</v>
      </c>
      <c r="M224" s="13">
        <v>36</v>
      </c>
    </row>
    <row r="225" spans="1:13" x14ac:dyDescent="0.25">
      <c r="A225" s="7" t="s">
        <v>13</v>
      </c>
      <c r="B225" s="8" t="s">
        <v>24</v>
      </c>
      <c r="C225" s="8" t="s">
        <v>349</v>
      </c>
      <c r="D225" s="9" t="s">
        <v>350</v>
      </c>
      <c r="E225" s="8" t="s">
        <v>34</v>
      </c>
      <c r="F225" s="10">
        <v>44188</v>
      </c>
      <c r="G225" s="8">
        <v>9</v>
      </c>
      <c r="H225" s="11" t="s">
        <v>28</v>
      </c>
      <c r="I225" s="11" t="s">
        <v>546</v>
      </c>
      <c r="J225" s="8">
        <v>9</v>
      </c>
      <c r="K225" s="8" t="s">
        <v>547</v>
      </c>
      <c r="L225" s="8">
        <v>3</v>
      </c>
      <c r="M225" s="13">
        <v>27</v>
      </c>
    </row>
    <row r="226" spans="1:13" x14ac:dyDescent="0.25">
      <c r="A226" s="7" t="s">
        <v>13</v>
      </c>
      <c r="B226" s="8" t="s">
        <v>19</v>
      </c>
      <c r="C226" s="8" t="s">
        <v>133</v>
      </c>
      <c r="D226" s="9" t="s">
        <v>77</v>
      </c>
      <c r="E226" s="8" t="s">
        <v>81</v>
      </c>
      <c r="F226" s="10">
        <v>44188</v>
      </c>
      <c r="G226" s="8">
        <v>8</v>
      </c>
      <c r="H226" s="11" t="s">
        <v>42</v>
      </c>
      <c r="I226" s="11" t="s">
        <v>546</v>
      </c>
      <c r="J226" s="8">
        <v>8</v>
      </c>
      <c r="K226" s="8" t="s">
        <v>548</v>
      </c>
      <c r="L226" s="8">
        <v>2</v>
      </c>
      <c r="M226" s="13">
        <v>16</v>
      </c>
    </row>
    <row r="227" spans="1:13" x14ac:dyDescent="0.25">
      <c r="A227" s="7" t="s">
        <v>13</v>
      </c>
      <c r="B227" s="8" t="s">
        <v>19</v>
      </c>
      <c r="C227" s="8" t="s">
        <v>351</v>
      </c>
      <c r="D227" s="9" t="s">
        <v>77</v>
      </c>
      <c r="E227" s="8" t="s">
        <v>81</v>
      </c>
      <c r="F227" s="10">
        <v>44188</v>
      </c>
      <c r="G227" s="8">
        <v>8</v>
      </c>
      <c r="H227" s="11" t="s">
        <v>42</v>
      </c>
      <c r="I227" s="11" t="s">
        <v>546</v>
      </c>
      <c r="J227" s="8">
        <v>8</v>
      </c>
      <c r="K227" s="8" t="s">
        <v>553</v>
      </c>
      <c r="L227" s="8">
        <v>3.5</v>
      </c>
      <c r="M227" s="13">
        <v>28</v>
      </c>
    </row>
    <row r="228" spans="1:13" x14ac:dyDescent="0.25">
      <c r="A228" s="7" t="s">
        <v>13</v>
      </c>
      <c r="B228" s="8" t="s">
        <v>19</v>
      </c>
      <c r="C228" s="8" t="s">
        <v>352</v>
      </c>
      <c r="D228" s="9" t="s">
        <v>77</v>
      </c>
      <c r="E228" s="8" t="s">
        <v>81</v>
      </c>
      <c r="F228" s="10">
        <v>44188</v>
      </c>
      <c r="G228" s="8">
        <v>8</v>
      </c>
      <c r="H228" s="11" t="s">
        <v>42</v>
      </c>
      <c r="I228" s="11" t="s">
        <v>546</v>
      </c>
      <c r="J228" s="8">
        <v>8</v>
      </c>
      <c r="K228" s="8" t="s">
        <v>551</v>
      </c>
      <c r="L228" s="8">
        <v>4</v>
      </c>
      <c r="M228" s="13">
        <v>32</v>
      </c>
    </row>
    <row r="229" spans="1:13" x14ac:dyDescent="0.25">
      <c r="A229" s="7" t="s">
        <v>13</v>
      </c>
      <c r="B229" s="8" t="s">
        <v>19</v>
      </c>
      <c r="C229" s="8" t="s">
        <v>353</v>
      </c>
      <c r="D229" s="9" t="s">
        <v>243</v>
      </c>
      <c r="E229" s="8" t="s">
        <v>244</v>
      </c>
      <c r="F229" s="10">
        <v>44188</v>
      </c>
      <c r="G229" s="8">
        <v>15</v>
      </c>
      <c r="H229" s="11" t="s">
        <v>76</v>
      </c>
      <c r="I229" s="11" t="s">
        <v>546</v>
      </c>
      <c r="J229" s="8">
        <v>15</v>
      </c>
      <c r="K229" s="8" t="s">
        <v>564</v>
      </c>
      <c r="L229" s="8">
        <v>4</v>
      </c>
      <c r="M229" s="13">
        <v>60</v>
      </c>
    </row>
    <row r="230" spans="1:13" x14ac:dyDescent="0.25">
      <c r="A230" s="7" t="s">
        <v>13</v>
      </c>
      <c r="B230" s="8" t="s">
        <v>46</v>
      </c>
      <c r="C230" s="8" t="s">
        <v>354</v>
      </c>
      <c r="D230" s="9" t="s">
        <v>48</v>
      </c>
      <c r="E230" s="8" t="s">
        <v>355</v>
      </c>
      <c r="F230" s="10">
        <v>44187</v>
      </c>
      <c r="G230" s="8">
        <v>8</v>
      </c>
      <c r="H230" s="11" t="s">
        <v>50</v>
      </c>
      <c r="I230" s="11" t="s">
        <v>546</v>
      </c>
      <c r="J230" s="8">
        <v>8</v>
      </c>
      <c r="K230" s="8" t="s">
        <v>561</v>
      </c>
      <c r="L230" s="8">
        <v>3</v>
      </c>
      <c r="M230" s="13">
        <v>24</v>
      </c>
    </row>
    <row r="231" spans="1:13" x14ac:dyDescent="0.25">
      <c r="A231" s="7" t="s">
        <v>13</v>
      </c>
      <c r="B231" s="8" t="s">
        <v>19</v>
      </c>
      <c r="C231" s="8" t="s">
        <v>356</v>
      </c>
      <c r="D231" s="9" t="s">
        <v>357</v>
      </c>
      <c r="E231" s="8" t="s">
        <v>89</v>
      </c>
      <c r="F231" s="10">
        <v>44189</v>
      </c>
      <c r="G231" s="8">
        <v>9</v>
      </c>
      <c r="H231" s="11" t="s">
        <v>23</v>
      </c>
      <c r="I231" s="11" t="s">
        <v>546</v>
      </c>
      <c r="J231" s="8">
        <v>9</v>
      </c>
      <c r="K231" s="8" t="s">
        <v>562</v>
      </c>
      <c r="L231" s="8">
        <v>2</v>
      </c>
      <c r="M231" s="13">
        <v>18</v>
      </c>
    </row>
    <row r="232" spans="1:13" x14ac:dyDescent="0.25">
      <c r="A232" s="7" t="s">
        <v>13</v>
      </c>
      <c r="B232" s="8" t="s">
        <v>19</v>
      </c>
      <c r="C232" s="8" t="s">
        <v>358</v>
      </c>
      <c r="D232" s="9" t="s">
        <v>302</v>
      </c>
      <c r="E232" s="8" t="s">
        <v>31</v>
      </c>
      <c r="F232" s="10">
        <v>44179</v>
      </c>
      <c r="G232" s="8">
        <v>5</v>
      </c>
      <c r="H232" s="11" t="s">
        <v>42</v>
      </c>
      <c r="I232" s="11" t="s">
        <v>546</v>
      </c>
      <c r="J232" s="8">
        <v>5</v>
      </c>
      <c r="K232" s="8" t="s">
        <v>563</v>
      </c>
      <c r="L232" s="8">
        <v>4</v>
      </c>
      <c r="M232" s="13">
        <v>20</v>
      </c>
    </row>
    <row r="233" spans="1:13" x14ac:dyDescent="0.25">
      <c r="A233" s="7" t="s">
        <v>13</v>
      </c>
      <c r="B233" s="8" t="s">
        <v>19</v>
      </c>
      <c r="C233" s="8" t="s">
        <v>359</v>
      </c>
      <c r="D233" s="9" t="s">
        <v>30</v>
      </c>
      <c r="E233" s="8" t="s">
        <v>31</v>
      </c>
      <c r="F233" s="10">
        <v>44189</v>
      </c>
      <c r="G233" s="8">
        <v>10</v>
      </c>
      <c r="H233" s="11" t="s">
        <v>23</v>
      </c>
      <c r="I233" s="11" t="s">
        <v>546</v>
      </c>
      <c r="J233" s="8">
        <v>10</v>
      </c>
      <c r="K233" s="8" t="s">
        <v>563</v>
      </c>
      <c r="L233" s="8">
        <v>2.5</v>
      </c>
      <c r="M233" s="13">
        <v>25</v>
      </c>
    </row>
    <row r="234" spans="1:13" x14ac:dyDescent="0.25">
      <c r="A234" s="7" t="s">
        <v>13</v>
      </c>
      <c r="B234" s="8" t="s">
        <v>19</v>
      </c>
      <c r="C234" s="8" t="s">
        <v>360</v>
      </c>
      <c r="D234" s="9" t="s">
        <v>30</v>
      </c>
      <c r="E234" s="8" t="s">
        <v>31</v>
      </c>
      <c r="F234" s="10">
        <v>44189</v>
      </c>
      <c r="G234" s="8">
        <v>10</v>
      </c>
      <c r="H234" s="11" t="s">
        <v>23</v>
      </c>
      <c r="I234" s="11" t="s">
        <v>546</v>
      </c>
      <c r="J234" s="8">
        <v>10</v>
      </c>
      <c r="K234" s="8" t="s">
        <v>548</v>
      </c>
      <c r="L234" s="8">
        <v>4</v>
      </c>
      <c r="M234" s="13">
        <v>40</v>
      </c>
    </row>
    <row r="235" spans="1:13" x14ac:dyDescent="0.25">
      <c r="A235" s="7" t="s">
        <v>13</v>
      </c>
      <c r="B235" s="8" t="s">
        <v>19</v>
      </c>
      <c r="C235" s="8" t="s">
        <v>361</v>
      </c>
      <c r="D235" s="9" t="s">
        <v>233</v>
      </c>
      <c r="E235" s="8" t="s">
        <v>44</v>
      </c>
      <c r="F235" s="10">
        <v>44189</v>
      </c>
      <c r="G235" s="8">
        <v>8</v>
      </c>
      <c r="H235" s="11" t="s">
        <v>23</v>
      </c>
      <c r="I235" s="11" t="s">
        <v>546</v>
      </c>
      <c r="J235" s="8">
        <v>8</v>
      </c>
      <c r="K235" s="8" t="s">
        <v>557</v>
      </c>
      <c r="L235" s="8">
        <v>3</v>
      </c>
      <c r="M235" s="13">
        <v>24</v>
      </c>
    </row>
    <row r="236" spans="1:13" x14ac:dyDescent="0.25">
      <c r="A236" s="7" t="s">
        <v>13</v>
      </c>
      <c r="B236" s="8" t="s">
        <v>19</v>
      </c>
      <c r="C236" s="8" t="s">
        <v>359</v>
      </c>
      <c r="D236" s="9" t="s">
        <v>30</v>
      </c>
      <c r="E236" s="8" t="s">
        <v>44</v>
      </c>
      <c r="F236" s="10">
        <v>44189</v>
      </c>
      <c r="G236" s="8">
        <v>10</v>
      </c>
      <c r="H236" s="11" t="s">
        <v>23</v>
      </c>
      <c r="I236" s="11" t="s">
        <v>546</v>
      </c>
      <c r="J236" s="8">
        <v>10</v>
      </c>
      <c r="K236" s="8" t="s">
        <v>558</v>
      </c>
      <c r="L236" s="8">
        <v>2.5</v>
      </c>
      <c r="M236" s="13">
        <v>25</v>
      </c>
    </row>
    <row r="237" spans="1:13" x14ac:dyDescent="0.25">
      <c r="A237" s="7" t="s">
        <v>13</v>
      </c>
      <c r="B237" s="8" t="s">
        <v>19</v>
      </c>
      <c r="C237" s="8" t="s">
        <v>360</v>
      </c>
      <c r="D237" s="9" t="s">
        <v>30</v>
      </c>
      <c r="E237" s="8" t="s">
        <v>44</v>
      </c>
      <c r="F237" s="10">
        <v>44189</v>
      </c>
      <c r="G237" s="8">
        <v>10</v>
      </c>
      <c r="H237" s="11" t="s">
        <v>23</v>
      </c>
      <c r="I237" s="11" t="s">
        <v>546</v>
      </c>
      <c r="J237" s="8">
        <v>10</v>
      </c>
      <c r="K237" s="8" t="s">
        <v>561</v>
      </c>
      <c r="L237" s="8">
        <v>4</v>
      </c>
      <c r="M237" s="13">
        <v>40</v>
      </c>
    </row>
    <row r="238" spans="1:13" x14ac:dyDescent="0.25">
      <c r="A238" s="7" t="s">
        <v>13</v>
      </c>
      <c r="B238" s="8" t="s">
        <v>19</v>
      </c>
      <c r="C238" s="8" t="s">
        <v>361</v>
      </c>
      <c r="D238" s="9" t="s">
        <v>233</v>
      </c>
      <c r="E238" s="8" t="s">
        <v>31</v>
      </c>
      <c r="F238" s="10">
        <v>44189</v>
      </c>
      <c r="G238" s="8">
        <v>8</v>
      </c>
      <c r="H238" s="11" t="s">
        <v>23</v>
      </c>
      <c r="I238" s="11" t="s">
        <v>546</v>
      </c>
      <c r="J238" s="8">
        <v>8</v>
      </c>
      <c r="K238" s="8" t="s">
        <v>556</v>
      </c>
      <c r="L238" s="8">
        <v>3</v>
      </c>
      <c r="M238" s="13">
        <v>24</v>
      </c>
    </row>
    <row r="239" spans="1:13" x14ac:dyDescent="0.25">
      <c r="A239" s="7" t="s">
        <v>13</v>
      </c>
      <c r="B239" s="8" t="s">
        <v>19</v>
      </c>
      <c r="C239" s="8" t="s">
        <v>362</v>
      </c>
      <c r="D239" s="9" t="s">
        <v>30</v>
      </c>
      <c r="E239" s="8" t="s">
        <v>44</v>
      </c>
      <c r="F239" s="10">
        <v>44185</v>
      </c>
      <c r="G239" s="8">
        <v>10</v>
      </c>
      <c r="H239" s="11" t="s">
        <v>23</v>
      </c>
      <c r="I239" s="11" t="s">
        <v>546</v>
      </c>
      <c r="J239" s="8">
        <v>10</v>
      </c>
      <c r="K239" s="8" t="s">
        <v>563</v>
      </c>
      <c r="L239" s="8">
        <v>2.2999999999999998</v>
      </c>
      <c r="M239" s="13">
        <v>23</v>
      </c>
    </row>
    <row r="240" spans="1:13" x14ac:dyDescent="0.25">
      <c r="A240" s="7" t="s">
        <v>13</v>
      </c>
      <c r="B240" s="8" t="s">
        <v>14</v>
      </c>
      <c r="C240" s="8" t="s">
        <v>319</v>
      </c>
      <c r="D240" s="9" t="s">
        <v>363</v>
      </c>
      <c r="E240" s="8" t="s">
        <v>364</v>
      </c>
      <c r="F240" s="10">
        <v>44193</v>
      </c>
      <c r="G240" s="8">
        <v>4</v>
      </c>
      <c r="H240" s="11" t="s">
        <v>18</v>
      </c>
      <c r="I240" s="11" t="s">
        <v>546</v>
      </c>
      <c r="J240" s="8">
        <v>4</v>
      </c>
      <c r="K240" s="8" t="s">
        <v>557</v>
      </c>
      <c r="L240" s="8">
        <v>7</v>
      </c>
      <c r="M240" s="13">
        <v>28</v>
      </c>
    </row>
    <row r="241" spans="1:13" x14ac:dyDescent="0.25">
      <c r="A241" s="7" t="s">
        <v>13</v>
      </c>
      <c r="B241" s="8" t="s">
        <v>19</v>
      </c>
      <c r="C241" s="8" t="s">
        <v>365</v>
      </c>
      <c r="D241" s="9" t="s">
        <v>243</v>
      </c>
      <c r="E241" s="8" t="s">
        <v>366</v>
      </c>
      <c r="F241" s="10">
        <v>44187</v>
      </c>
      <c r="G241" s="8">
        <v>12</v>
      </c>
      <c r="H241" s="11" t="s">
        <v>23</v>
      </c>
      <c r="I241" s="11" t="s">
        <v>546</v>
      </c>
      <c r="J241" s="8">
        <v>12</v>
      </c>
      <c r="K241" s="8" t="s">
        <v>574</v>
      </c>
      <c r="L241" s="8">
        <v>2.5</v>
      </c>
      <c r="M241" s="13">
        <v>30</v>
      </c>
    </row>
    <row r="242" spans="1:13" x14ac:dyDescent="0.25">
      <c r="A242" s="7" t="s">
        <v>13</v>
      </c>
      <c r="B242" s="8" t="s">
        <v>19</v>
      </c>
      <c r="C242" s="8" t="s">
        <v>367</v>
      </c>
      <c r="D242" s="9" t="s">
        <v>243</v>
      </c>
      <c r="E242" s="8" t="s">
        <v>368</v>
      </c>
      <c r="F242" s="10">
        <v>44188</v>
      </c>
      <c r="G242" s="8">
        <v>4</v>
      </c>
      <c r="H242" s="11" t="s">
        <v>76</v>
      </c>
      <c r="I242" s="11" t="s">
        <v>546</v>
      </c>
      <c r="J242" s="8">
        <v>4</v>
      </c>
      <c r="K242" s="8" t="s">
        <v>570</v>
      </c>
      <c r="L242" s="8">
        <v>12</v>
      </c>
      <c r="M242" s="13">
        <v>48</v>
      </c>
    </row>
    <row r="243" spans="1:13" x14ac:dyDescent="0.25">
      <c r="A243" s="7" t="s">
        <v>13</v>
      </c>
      <c r="B243" s="8" t="s">
        <v>19</v>
      </c>
      <c r="C243" s="8" t="s">
        <v>369</v>
      </c>
      <c r="D243" s="9" t="s">
        <v>30</v>
      </c>
      <c r="E243" s="8" t="s">
        <v>44</v>
      </c>
      <c r="F243" s="10">
        <v>44188</v>
      </c>
      <c r="G243" s="8">
        <v>10</v>
      </c>
      <c r="H243" s="11" t="s">
        <v>23</v>
      </c>
      <c r="I243" s="11" t="s">
        <v>546</v>
      </c>
      <c r="J243" s="8">
        <v>10</v>
      </c>
      <c r="K243" s="8" t="s">
        <v>548</v>
      </c>
      <c r="L243" s="8">
        <v>2</v>
      </c>
      <c r="M243" s="13">
        <v>20</v>
      </c>
    </row>
    <row r="244" spans="1:13" x14ac:dyDescent="0.25">
      <c r="A244" s="7" t="s">
        <v>13</v>
      </c>
      <c r="B244" s="8" t="s">
        <v>19</v>
      </c>
      <c r="C244" s="8" t="s">
        <v>370</v>
      </c>
      <c r="D244" s="9" t="s">
        <v>243</v>
      </c>
      <c r="E244" s="8" t="s">
        <v>371</v>
      </c>
      <c r="F244" s="10">
        <v>44188</v>
      </c>
      <c r="G244" s="8">
        <v>12</v>
      </c>
      <c r="H244" s="11" t="s">
        <v>76</v>
      </c>
      <c r="I244" s="11" t="s">
        <v>546</v>
      </c>
      <c r="J244" s="8">
        <v>12</v>
      </c>
      <c r="K244" s="8" t="s">
        <v>574</v>
      </c>
      <c r="L244" s="8">
        <v>5</v>
      </c>
      <c r="M244" s="13">
        <v>60</v>
      </c>
    </row>
    <row r="245" spans="1:13" x14ac:dyDescent="0.25">
      <c r="A245" s="7" t="s">
        <v>13</v>
      </c>
      <c r="B245" s="8" t="s">
        <v>19</v>
      </c>
      <c r="C245" s="8" t="s">
        <v>372</v>
      </c>
      <c r="D245" s="9" t="s">
        <v>243</v>
      </c>
      <c r="E245" s="8" t="s">
        <v>368</v>
      </c>
      <c r="F245" s="10">
        <v>44188</v>
      </c>
      <c r="G245" s="8">
        <v>9</v>
      </c>
      <c r="H245" s="11" t="s">
        <v>76</v>
      </c>
      <c r="I245" s="11" t="s">
        <v>546</v>
      </c>
      <c r="J245" s="8">
        <v>9</v>
      </c>
      <c r="K245" s="8" t="s">
        <v>564</v>
      </c>
      <c r="L245" s="8">
        <v>6</v>
      </c>
      <c r="M245" s="13">
        <v>54</v>
      </c>
    </row>
    <row r="246" spans="1:13" x14ac:dyDescent="0.25">
      <c r="A246" s="7" t="s">
        <v>13</v>
      </c>
      <c r="B246" s="8" t="s">
        <v>19</v>
      </c>
      <c r="C246" s="8" t="s">
        <v>373</v>
      </c>
      <c r="D246" s="9" t="s">
        <v>141</v>
      </c>
      <c r="E246" s="8" t="s">
        <v>81</v>
      </c>
      <c r="F246" s="10">
        <v>44189</v>
      </c>
      <c r="G246" s="8">
        <v>3</v>
      </c>
      <c r="H246" s="11" t="s">
        <v>42</v>
      </c>
      <c r="I246" s="11" t="s">
        <v>546</v>
      </c>
      <c r="J246" s="8">
        <v>3</v>
      </c>
      <c r="K246" s="8" t="s">
        <v>568</v>
      </c>
      <c r="L246" s="8">
        <v>8</v>
      </c>
      <c r="M246" s="13">
        <v>72</v>
      </c>
    </row>
    <row r="247" spans="1:13" x14ac:dyDescent="0.25">
      <c r="A247" s="7" t="s">
        <v>13</v>
      </c>
      <c r="B247" s="8" t="s">
        <v>46</v>
      </c>
      <c r="C247" s="8" t="s">
        <v>374</v>
      </c>
      <c r="D247" s="9" t="s">
        <v>104</v>
      </c>
      <c r="E247" s="8" t="s">
        <v>321</v>
      </c>
      <c r="F247" s="10">
        <v>44189</v>
      </c>
      <c r="G247" s="8">
        <v>1</v>
      </c>
      <c r="H247" s="11" t="s">
        <v>99</v>
      </c>
      <c r="I247" s="11" t="s">
        <v>546</v>
      </c>
      <c r="J247" s="8">
        <v>1</v>
      </c>
      <c r="K247" s="8" t="s">
        <v>553</v>
      </c>
      <c r="L247" s="8">
        <v>4</v>
      </c>
      <c r="M247" s="13">
        <v>12</v>
      </c>
    </row>
    <row r="248" spans="1:13" x14ac:dyDescent="0.25">
      <c r="A248" s="7" t="s">
        <v>13</v>
      </c>
      <c r="B248" s="8" t="s">
        <v>24</v>
      </c>
      <c r="C248" s="8" t="s">
        <v>375</v>
      </c>
      <c r="D248" s="9" t="s">
        <v>376</v>
      </c>
      <c r="E248" s="8" t="s">
        <v>316</v>
      </c>
      <c r="F248" s="10">
        <v>44190</v>
      </c>
      <c r="G248" s="8">
        <v>3</v>
      </c>
      <c r="H248" s="11" t="s">
        <v>28</v>
      </c>
      <c r="I248" s="11" t="s">
        <v>546</v>
      </c>
      <c r="J248" s="8">
        <v>3</v>
      </c>
      <c r="K248" s="8" t="s">
        <v>566</v>
      </c>
      <c r="L248" s="8">
        <v>3</v>
      </c>
      <c r="M248" s="13">
        <v>27</v>
      </c>
    </row>
    <row r="249" spans="1:13" x14ac:dyDescent="0.25">
      <c r="A249" s="7" t="s">
        <v>13</v>
      </c>
      <c r="B249" s="8" t="s">
        <v>24</v>
      </c>
      <c r="C249" s="8" t="s">
        <v>377</v>
      </c>
      <c r="D249" s="9" t="s">
        <v>376</v>
      </c>
      <c r="E249" s="8" t="s">
        <v>27</v>
      </c>
      <c r="F249" s="10">
        <v>44190</v>
      </c>
      <c r="G249" s="8">
        <v>3</v>
      </c>
      <c r="H249" s="11" t="s">
        <v>28</v>
      </c>
      <c r="I249" s="11" t="s">
        <v>546</v>
      </c>
      <c r="J249" s="8">
        <v>3</v>
      </c>
      <c r="K249" s="8" t="s">
        <v>558</v>
      </c>
      <c r="L249" s="8">
        <v>3</v>
      </c>
      <c r="M249" s="13">
        <v>27</v>
      </c>
    </row>
    <row r="250" spans="1:13" x14ac:dyDescent="0.25">
      <c r="A250" s="7" t="s">
        <v>13</v>
      </c>
      <c r="B250" s="8" t="s">
        <v>24</v>
      </c>
      <c r="C250" s="8" t="s">
        <v>377</v>
      </c>
      <c r="D250" s="9" t="s">
        <v>378</v>
      </c>
      <c r="E250" s="8" t="s">
        <v>34</v>
      </c>
      <c r="F250" s="10">
        <v>44190</v>
      </c>
      <c r="G250" s="8">
        <v>4</v>
      </c>
      <c r="H250" s="11" t="s">
        <v>28</v>
      </c>
      <c r="I250" s="11" t="s">
        <v>546</v>
      </c>
      <c r="J250" s="8">
        <v>4</v>
      </c>
      <c r="K250" s="8" t="s">
        <v>560</v>
      </c>
      <c r="L250" s="8">
        <v>3</v>
      </c>
      <c r="M250" s="13">
        <v>12</v>
      </c>
    </row>
    <row r="251" spans="1:13" x14ac:dyDescent="0.25">
      <c r="A251" s="7" t="s">
        <v>13</v>
      </c>
      <c r="B251" s="8" t="s">
        <v>24</v>
      </c>
      <c r="C251" s="8" t="s">
        <v>349</v>
      </c>
      <c r="D251" s="9" t="s">
        <v>312</v>
      </c>
      <c r="E251" s="8" t="s">
        <v>27</v>
      </c>
      <c r="F251" s="10">
        <v>44188</v>
      </c>
      <c r="G251" s="8">
        <v>1</v>
      </c>
      <c r="H251" s="11" t="s">
        <v>28</v>
      </c>
      <c r="I251" s="11" t="s">
        <v>546</v>
      </c>
      <c r="J251" s="8">
        <v>1</v>
      </c>
      <c r="K251" s="8" t="s">
        <v>568</v>
      </c>
      <c r="L251" s="8">
        <v>3</v>
      </c>
      <c r="M251" s="13">
        <v>9</v>
      </c>
    </row>
    <row r="252" spans="1:13" x14ac:dyDescent="0.25">
      <c r="A252" s="7" t="s">
        <v>13</v>
      </c>
      <c r="B252" s="8" t="s">
        <v>24</v>
      </c>
      <c r="C252" s="8" t="s">
        <v>379</v>
      </c>
      <c r="D252" s="9" t="s">
        <v>315</v>
      </c>
      <c r="E252" s="8" t="s">
        <v>27</v>
      </c>
      <c r="F252" s="10">
        <v>44188</v>
      </c>
      <c r="G252" s="8">
        <v>1</v>
      </c>
      <c r="H252" s="11" t="s">
        <v>28</v>
      </c>
      <c r="I252" s="11" t="s">
        <v>546</v>
      </c>
      <c r="J252" s="8">
        <v>1</v>
      </c>
      <c r="K252" s="8" t="s">
        <v>550</v>
      </c>
      <c r="L252" s="8">
        <v>5</v>
      </c>
      <c r="M252" s="13">
        <v>15</v>
      </c>
    </row>
    <row r="253" spans="1:13" x14ac:dyDescent="0.25">
      <c r="A253" s="7" t="s">
        <v>13</v>
      </c>
      <c r="B253" s="8" t="s">
        <v>24</v>
      </c>
      <c r="C253" s="8" t="s">
        <v>380</v>
      </c>
      <c r="D253" s="9" t="s">
        <v>381</v>
      </c>
      <c r="E253" s="8" t="s">
        <v>316</v>
      </c>
      <c r="F253" s="10">
        <v>44188</v>
      </c>
      <c r="G253" s="8">
        <v>3</v>
      </c>
      <c r="H253" s="11" t="s">
        <v>28</v>
      </c>
      <c r="I253" s="11" t="s">
        <v>546</v>
      </c>
      <c r="J253" s="8">
        <v>3</v>
      </c>
      <c r="K253" s="8" t="s">
        <v>560</v>
      </c>
      <c r="L253" s="8">
        <v>6</v>
      </c>
      <c r="M253" s="13">
        <v>54</v>
      </c>
    </row>
    <row r="254" spans="1:13" x14ac:dyDescent="0.25">
      <c r="A254" s="7" t="s">
        <v>13</v>
      </c>
      <c r="B254" s="8" t="s">
        <v>24</v>
      </c>
      <c r="C254" s="8" t="s">
        <v>382</v>
      </c>
      <c r="D254" s="9" t="s">
        <v>383</v>
      </c>
      <c r="E254" s="8" t="s">
        <v>34</v>
      </c>
      <c r="F254" s="10">
        <v>44188</v>
      </c>
      <c r="G254" s="8">
        <v>8</v>
      </c>
      <c r="H254" s="11" t="s">
        <v>28</v>
      </c>
      <c r="I254" s="11" t="s">
        <v>546</v>
      </c>
      <c r="J254" s="8">
        <v>8</v>
      </c>
      <c r="K254" s="8" t="s">
        <v>563</v>
      </c>
      <c r="L254" s="8">
        <v>2</v>
      </c>
      <c r="M254" s="13">
        <v>16</v>
      </c>
    </row>
    <row r="255" spans="1:13" x14ac:dyDescent="0.25">
      <c r="A255" s="7" t="s">
        <v>13</v>
      </c>
      <c r="B255" s="8" t="s">
        <v>46</v>
      </c>
      <c r="C255" s="8" t="s">
        <v>384</v>
      </c>
      <c r="D255" s="9" t="s">
        <v>48</v>
      </c>
      <c r="E255" s="8" t="s">
        <v>49</v>
      </c>
      <c r="F255" s="10">
        <v>44188</v>
      </c>
      <c r="G255" s="8">
        <v>8</v>
      </c>
      <c r="H255" s="11" t="s">
        <v>50</v>
      </c>
      <c r="I255" s="11" t="s">
        <v>546</v>
      </c>
      <c r="J255" s="8">
        <v>8</v>
      </c>
      <c r="K255" s="8" t="s">
        <v>548</v>
      </c>
      <c r="L255" s="8">
        <v>3</v>
      </c>
      <c r="M255" s="13">
        <v>24</v>
      </c>
    </row>
    <row r="256" spans="1:13" x14ac:dyDescent="0.25">
      <c r="A256" s="7" t="s">
        <v>13</v>
      </c>
      <c r="B256" s="8" t="s">
        <v>46</v>
      </c>
      <c r="C256" s="8" t="s">
        <v>174</v>
      </c>
      <c r="D256" s="9" t="s">
        <v>104</v>
      </c>
      <c r="E256" s="8" t="s">
        <v>385</v>
      </c>
      <c r="F256" s="10">
        <v>44183</v>
      </c>
      <c r="G256" s="8">
        <v>1</v>
      </c>
      <c r="H256" s="11" t="s">
        <v>99</v>
      </c>
      <c r="I256" s="11" t="s">
        <v>546</v>
      </c>
      <c r="J256" s="8">
        <v>1</v>
      </c>
      <c r="K256" s="8" t="s">
        <v>563</v>
      </c>
      <c r="L256" s="8">
        <v>2.1</v>
      </c>
      <c r="M256" s="13">
        <v>6.3000000000000007</v>
      </c>
    </row>
    <row r="257" spans="1:13" x14ac:dyDescent="0.25">
      <c r="A257" s="7" t="s">
        <v>13</v>
      </c>
      <c r="B257" s="8" t="s">
        <v>46</v>
      </c>
      <c r="C257" s="8" t="s">
        <v>386</v>
      </c>
      <c r="D257" s="9" t="s">
        <v>48</v>
      </c>
      <c r="E257" s="8" t="s">
        <v>98</v>
      </c>
      <c r="F257" s="10">
        <v>44183</v>
      </c>
      <c r="G257" s="8">
        <v>8</v>
      </c>
      <c r="H257" s="11" t="s">
        <v>50</v>
      </c>
      <c r="I257" s="11" t="s">
        <v>546</v>
      </c>
      <c r="J257" s="8">
        <v>8</v>
      </c>
      <c r="K257" s="8" t="s">
        <v>564</v>
      </c>
      <c r="L257" s="8">
        <v>6</v>
      </c>
      <c r="M257" s="13">
        <v>48</v>
      </c>
    </row>
    <row r="258" spans="1:13" x14ac:dyDescent="0.25">
      <c r="A258" s="7" t="s">
        <v>13</v>
      </c>
      <c r="B258" s="8" t="s">
        <v>14</v>
      </c>
      <c r="C258" s="8" t="s">
        <v>387</v>
      </c>
      <c r="D258" s="9" t="s">
        <v>225</v>
      </c>
      <c r="E258" s="8" t="s">
        <v>17</v>
      </c>
      <c r="F258" s="10">
        <v>44183</v>
      </c>
      <c r="G258" s="8">
        <v>2</v>
      </c>
      <c r="H258" s="11" t="s">
        <v>18</v>
      </c>
      <c r="I258" s="11" t="s">
        <v>546</v>
      </c>
      <c r="J258" s="8">
        <v>2</v>
      </c>
      <c r="K258" s="8" t="s">
        <v>552</v>
      </c>
      <c r="L258" s="8">
        <v>14</v>
      </c>
      <c r="M258" s="13">
        <v>84</v>
      </c>
    </row>
    <row r="259" spans="1:13" x14ac:dyDescent="0.25">
      <c r="A259" s="7" t="s">
        <v>13</v>
      </c>
      <c r="B259" s="8" t="s">
        <v>14</v>
      </c>
      <c r="C259" s="8" t="s">
        <v>388</v>
      </c>
      <c r="D259" s="9" t="s">
        <v>389</v>
      </c>
      <c r="E259" s="8" t="s">
        <v>59</v>
      </c>
      <c r="F259" s="10">
        <v>44181</v>
      </c>
      <c r="G259" s="8">
        <v>4</v>
      </c>
      <c r="H259" s="11" t="s">
        <v>18</v>
      </c>
      <c r="I259" s="11" t="s">
        <v>546</v>
      </c>
      <c r="J259" s="8">
        <v>4</v>
      </c>
      <c r="K259" s="8" t="s">
        <v>566</v>
      </c>
      <c r="L259" s="8">
        <v>4</v>
      </c>
      <c r="M259" s="13">
        <v>16</v>
      </c>
    </row>
    <row r="260" spans="1:13" x14ac:dyDescent="0.25">
      <c r="A260" s="7" t="s">
        <v>13</v>
      </c>
      <c r="B260" s="8" t="s">
        <v>24</v>
      </c>
      <c r="C260" s="8" t="s">
        <v>390</v>
      </c>
      <c r="D260" s="9" t="s">
        <v>391</v>
      </c>
      <c r="E260" s="8" t="s">
        <v>34</v>
      </c>
      <c r="F260" s="10">
        <v>44183</v>
      </c>
      <c r="G260" s="8">
        <v>10</v>
      </c>
      <c r="H260" s="11" t="s">
        <v>28</v>
      </c>
      <c r="I260" s="11" t="s">
        <v>546</v>
      </c>
      <c r="J260" s="8">
        <v>10</v>
      </c>
      <c r="K260" s="8" t="s">
        <v>549</v>
      </c>
      <c r="L260" s="8">
        <v>9</v>
      </c>
      <c r="M260" s="13">
        <v>90</v>
      </c>
    </row>
    <row r="261" spans="1:13" x14ac:dyDescent="0.25">
      <c r="A261" s="7" t="s">
        <v>13</v>
      </c>
      <c r="B261" s="8" t="s">
        <v>14</v>
      </c>
      <c r="C261" s="8" t="s">
        <v>330</v>
      </c>
      <c r="D261" s="9" t="s">
        <v>392</v>
      </c>
      <c r="E261" s="8" t="s">
        <v>59</v>
      </c>
      <c r="F261" s="10">
        <v>44186</v>
      </c>
      <c r="G261" s="8">
        <v>4</v>
      </c>
      <c r="H261" s="11" t="s">
        <v>18</v>
      </c>
      <c r="I261" s="11" t="s">
        <v>546</v>
      </c>
      <c r="J261" s="8">
        <v>4</v>
      </c>
      <c r="K261" s="8" t="s">
        <v>569</v>
      </c>
      <c r="L261" s="8">
        <v>12</v>
      </c>
      <c r="M261" s="13">
        <v>48</v>
      </c>
    </row>
    <row r="262" spans="1:13" x14ac:dyDescent="0.25">
      <c r="A262" s="7" t="s">
        <v>13</v>
      </c>
      <c r="B262" s="8" t="s">
        <v>14</v>
      </c>
      <c r="C262" s="8" t="s">
        <v>393</v>
      </c>
      <c r="D262" s="9" t="s">
        <v>394</v>
      </c>
      <c r="E262" s="8" t="s">
        <v>17</v>
      </c>
      <c r="F262" s="10">
        <v>44186</v>
      </c>
      <c r="G262" s="8">
        <v>6</v>
      </c>
      <c r="H262" s="11" t="s">
        <v>18</v>
      </c>
      <c r="I262" s="11" t="s">
        <v>546</v>
      </c>
      <c r="J262" s="8">
        <v>6</v>
      </c>
      <c r="K262" s="8" t="s">
        <v>567</v>
      </c>
      <c r="L262" s="8">
        <v>3</v>
      </c>
      <c r="M262" s="13">
        <v>18</v>
      </c>
    </row>
    <row r="263" spans="1:13" x14ac:dyDescent="0.25">
      <c r="A263" s="7" t="s">
        <v>13</v>
      </c>
      <c r="B263" s="8" t="s">
        <v>14</v>
      </c>
      <c r="C263" s="8" t="s">
        <v>111</v>
      </c>
      <c r="D263" s="9" t="s">
        <v>395</v>
      </c>
      <c r="E263" s="8" t="s">
        <v>59</v>
      </c>
      <c r="F263" s="10">
        <v>44186</v>
      </c>
      <c r="G263" s="8">
        <v>10</v>
      </c>
      <c r="H263" s="11" t="s">
        <v>18</v>
      </c>
      <c r="I263" s="11" t="s">
        <v>546</v>
      </c>
      <c r="J263" s="8">
        <v>10</v>
      </c>
      <c r="K263" s="8" t="s">
        <v>565</v>
      </c>
      <c r="L263" s="8">
        <v>6</v>
      </c>
      <c r="M263" s="13">
        <v>60</v>
      </c>
    </row>
    <row r="264" spans="1:13" x14ac:dyDescent="0.25">
      <c r="A264" s="7" t="s">
        <v>13</v>
      </c>
      <c r="B264" s="8" t="s">
        <v>14</v>
      </c>
      <c r="C264" s="8" t="s">
        <v>111</v>
      </c>
      <c r="D264" s="9" t="s">
        <v>396</v>
      </c>
      <c r="E264" s="8" t="s">
        <v>17</v>
      </c>
      <c r="F264" s="10">
        <v>44186</v>
      </c>
      <c r="G264" s="8">
        <v>11</v>
      </c>
      <c r="H264" s="11" t="s">
        <v>18</v>
      </c>
      <c r="I264" s="11" t="s">
        <v>546</v>
      </c>
      <c r="J264" s="8">
        <v>11</v>
      </c>
      <c r="K264" s="8" t="s">
        <v>565</v>
      </c>
      <c r="L264" s="8">
        <v>6</v>
      </c>
      <c r="M264" s="13">
        <v>66</v>
      </c>
    </row>
    <row r="265" spans="1:13" x14ac:dyDescent="0.25">
      <c r="A265" s="7" t="s">
        <v>13</v>
      </c>
      <c r="B265" s="8" t="s">
        <v>19</v>
      </c>
      <c r="C265" s="8" t="s">
        <v>397</v>
      </c>
      <c r="D265" s="9" t="s">
        <v>398</v>
      </c>
      <c r="E265" s="8" t="s">
        <v>31</v>
      </c>
      <c r="F265" s="10">
        <v>44193</v>
      </c>
      <c r="G265" s="8">
        <v>9</v>
      </c>
      <c r="H265" s="11" t="s">
        <v>23</v>
      </c>
      <c r="I265" s="11" t="s">
        <v>546</v>
      </c>
      <c r="J265" s="8">
        <v>9</v>
      </c>
      <c r="K265" s="8" t="s">
        <v>553</v>
      </c>
      <c r="L265" s="8">
        <v>4</v>
      </c>
      <c r="M265" s="13">
        <v>36</v>
      </c>
    </row>
    <row r="266" spans="1:13" x14ac:dyDescent="0.25">
      <c r="A266" s="7" t="s">
        <v>13</v>
      </c>
      <c r="B266" s="8" t="s">
        <v>19</v>
      </c>
      <c r="C266" s="8" t="s">
        <v>397</v>
      </c>
      <c r="D266" s="9" t="s">
        <v>399</v>
      </c>
      <c r="E266" s="8" t="s">
        <v>44</v>
      </c>
      <c r="F266" s="10">
        <v>44193</v>
      </c>
      <c r="G266" s="8">
        <v>9</v>
      </c>
      <c r="H266" s="11" t="s">
        <v>23</v>
      </c>
      <c r="I266" s="11" t="s">
        <v>546</v>
      </c>
      <c r="J266" s="8">
        <v>9</v>
      </c>
      <c r="K266" s="8" t="s">
        <v>550</v>
      </c>
      <c r="L266" s="8">
        <v>4</v>
      </c>
      <c r="M266" s="13">
        <v>36</v>
      </c>
    </row>
    <row r="267" spans="1:13" x14ac:dyDescent="0.25">
      <c r="A267" s="7" t="s">
        <v>13</v>
      </c>
      <c r="B267" s="8" t="s">
        <v>19</v>
      </c>
      <c r="C267" s="8" t="s">
        <v>162</v>
      </c>
      <c r="D267" s="9" t="s">
        <v>400</v>
      </c>
      <c r="E267" s="8" t="s">
        <v>401</v>
      </c>
      <c r="F267" s="10">
        <v>44193</v>
      </c>
      <c r="G267" s="8">
        <v>2</v>
      </c>
      <c r="H267" s="11" t="s">
        <v>76</v>
      </c>
      <c r="I267" s="11" t="s">
        <v>546</v>
      </c>
      <c r="J267" s="8">
        <v>2</v>
      </c>
      <c r="K267" s="8" t="s">
        <v>563</v>
      </c>
      <c r="L267" s="8">
        <v>3</v>
      </c>
      <c r="M267" s="13">
        <v>18</v>
      </c>
    </row>
    <row r="268" spans="1:13" x14ac:dyDescent="0.25">
      <c r="A268" s="7" t="s">
        <v>13</v>
      </c>
      <c r="B268" s="8" t="s">
        <v>14</v>
      </c>
      <c r="C268" s="8" t="s">
        <v>402</v>
      </c>
      <c r="D268" s="9" t="s">
        <v>403</v>
      </c>
      <c r="E268" s="8" t="s">
        <v>199</v>
      </c>
      <c r="F268" s="10">
        <v>44138</v>
      </c>
      <c r="G268" s="8">
        <v>1</v>
      </c>
      <c r="H268" s="11" t="s">
        <v>18</v>
      </c>
      <c r="I268" s="11" t="s">
        <v>546</v>
      </c>
      <c r="J268" s="8">
        <v>1</v>
      </c>
      <c r="K268" s="8" t="s">
        <v>556</v>
      </c>
      <c r="L268" s="8">
        <v>5</v>
      </c>
      <c r="M268" s="13">
        <v>5</v>
      </c>
    </row>
    <row r="269" spans="1:13" x14ac:dyDescent="0.25">
      <c r="A269" s="7" t="s">
        <v>13</v>
      </c>
      <c r="B269" s="8" t="s">
        <v>14</v>
      </c>
      <c r="C269" s="8" t="s">
        <v>167</v>
      </c>
      <c r="D269" s="9" t="s">
        <v>335</v>
      </c>
      <c r="E269" s="8" t="s">
        <v>199</v>
      </c>
      <c r="F269" s="10">
        <v>44117</v>
      </c>
      <c r="G269" s="8">
        <v>3</v>
      </c>
      <c r="H269" s="11" t="s">
        <v>18</v>
      </c>
      <c r="I269" s="11" t="s">
        <v>546</v>
      </c>
      <c r="J269" s="8">
        <v>3</v>
      </c>
      <c r="K269" s="8" t="s">
        <v>560</v>
      </c>
      <c r="L269" s="8">
        <v>4</v>
      </c>
      <c r="M269" s="13">
        <v>12</v>
      </c>
    </row>
    <row r="270" spans="1:13" x14ac:dyDescent="0.25">
      <c r="A270" s="7" t="s">
        <v>13</v>
      </c>
      <c r="B270" s="8" t="s">
        <v>14</v>
      </c>
      <c r="C270" s="8" t="s">
        <v>250</v>
      </c>
      <c r="D270" s="9" t="s">
        <v>178</v>
      </c>
      <c r="E270" s="8" t="s">
        <v>56</v>
      </c>
      <c r="F270" s="10">
        <v>44195</v>
      </c>
      <c r="G270" s="8">
        <v>7</v>
      </c>
      <c r="H270" s="11" t="s">
        <v>18</v>
      </c>
      <c r="I270" s="11" t="s">
        <v>546</v>
      </c>
      <c r="J270" s="8">
        <v>7</v>
      </c>
      <c r="K270" s="8" t="s">
        <v>566</v>
      </c>
      <c r="L270" s="8">
        <v>5</v>
      </c>
      <c r="M270" s="13">
        <v>35</v>
      </c>
    </row>
    <row r="271" spans="1:13" x14ac:dyDescent="0.25">
      <c r="A271" s="7" t="s">
        <v>13</v>
      </c>
      <c r="B271" s="8" t="s">
        <v>19</v>
      </c>
      <c r="C271" s="8" t="s">
        <v>404</v>
      </c>
      <c r="D271" s="9" t="s">
        <v>357</v>
      </c>
      <c r="E271" s="8" t="s">
        <v>31</v>
      </c>
      <c r="F271" s="10">
        <v>44187</v>
      </c>
      <c r="G271" s="8">
        <v>7</v>
      </c>
      <c r="H271" s="11" t="s">
        <v>23</v>
      </c>
      <c r="I271" s="11" t="s">
        <v>546</v>
      </c>
      <c r="J271" s="8">
        <v>7</v>
      </c>
      <c r="K271" s="8" t="s">
        <v>559</v>
      </c>
      <c r="L271" s="8">
        <v>3</v>
      </c>
      <c r="M271" s="13">
        <v>21</v>
      </c>
    </row>
    <row r="272" spans="1:13" x14ac:dyDescent="0.25">
      <c r="A272" s="7" t="s">
        <v>13</v>
      </c>
      <c r="B272" s="8" t="s">
        <v>14</v>
      </c>
      <c r="C272" s="8" t="s">
        <v>57</v>
      </c>
      <c r="D272" s="9" t="s">
        <v>58</v>
      </c>
      <c r="E272" s="8" t="s">
        <v>199</v>
      </c>
      <c r="F272" s="10">
        <v>44211</v>
      </c>
      <c r="G272" s="8">
        <v>8</v>
      </c>
      <c r="H272" s="11" t="s">
        <v>18</v>
      </c>
      <c r="I272" s="11" t="s">
        <v>546</v>
      </c>
      <c r="J272" s="8">
        <v>8</v>
      </c>
      <c r="K272" s="8" t="s">
        <v>550</v>
      </c>
      <c r="L272" s="8">
        <v>3</v>
      </c>
      <c r="M272" s="13">
        <v>24</v>
      </c>
    </row>
    <row r="273" spans="1:13" x14ac:dyDescent="0.25">
      <c r="A273" s="7" t="s">
        <v>13</v>
      </c>
      <c r="B273" s="8" t="s">
        <v>14</v>
      </c>
      <c r="C273" s="8" t="s">
        <v>405</v>
      </c>
      <c r="D273" s="9" t="s">
        <v>101</v>
      </c>
      <c r="E273" s="8" t="s">
        <v>17</v>
      </c>
      <c r="F273" s="10">
        <v>44186</v>
      </c>
      <c r="G273" s="8">
        <v>12</v>
      </c>
      <c r="H273" s="11" t="s">
        <v>102</v>
      </c>
      <c r="I273" s="11" t="s">
        <v>546</v>
      </c>
      <c r="J273" s="8">
        <v>12</v>
      </c>
      <c r="K273" s="8" t="s">
        <v>553</v>
      </c>
      <c r="L273" s="8">
        <v>5</v>
      </c>
      <c r="M273" s="13">
        <v>60</v>
      </c>
    </row>
    <row r="274" spans="1:13" x14ac:dyDescent="0.25">
      <c r="A274" s="7" t="s">
        <v>13</v>
      </c>
      <c r="B274" s="8" t="s">
        <v>14</v>
      </c>
      <c r="C274" s="8" t="s">
        <v>405</v>
      </c>
      <c r="D274" s="9" t="s">
        <v>406</v>
      </c>
      <c r="E274" s="8" t="s">
        <v>59</v>
      </c>
      <c r="F274" s="10">
        <v>44186</v>
      </c>
      <c r="G274" s="8">
        <v>10</v>
      </c>
      <c r="H274" s="11" t="s">
        <v>18</v>
      </c>
      <c r="I274" s="11" t="s">
        <v>546</v>
      </c>
      <c r="J274" s="8">
        <v>10</v>
      </c>
      <c r="K274" s="8" t="s">
        <v>569</v>
      </c>
      <c r="L274" s="8">
        <v>5</v>
      </c>
      <c r="M274" s="13">
        <v>50</v>
      </c>
    </row>
    <row r="275" spans="1:13" x14ac:dyDescent="0.25">
      <c r="A275" s="7" t="s">
        <v>13</v>
      </c>
      <c r="B275" s="8" t="s">
        <v>14</v>
      </c>
      <c r="C275" s="8" t="s">
        <v>288</v>
      </c>
      <c r="D275" s="9" t="s">
        <v>407</v>
      </c>
      <c r="E275" s="8" t="s">
        <v>125</v>
      </c>
      <c r="F275" s="10">
        <v>44183</v>
      </c>
      <c r="G275" s="8">
        <v>1</v>
      </c>
      <c r="H275" s="11" t="s">
        <v>18</v>
      </c>
      <c r="I275" s="11" t="s">
        <v>546</v>
      </c>
      <c r="J275" s="8">
        <v>1</v>
      </c>
      <c r="K275" s="8" t="s">
        <v>554</v>
      </c>
      <c r="L275" s="8">
        <v>4</v>
      </c>
      <c r="M275" s="13">
        <v>12</v>
      </c>
    </row>
    <row r="276" spans="1:13" x14ac:dyDescent="0.25">
      <c r="A276" s="7" t="s">
        <v>13</v>
      </c>
      <c r="B276" s="8" t="s">
        <v>14</v>
      </c>
      <c r="C276" s="8" t="s">
        <v>408</v>
      </c>
      <c r="D276" s="9" t="s">
        <v>239</v>
      </c>
      <c r="E276" s="8" t="s">
        <v>59</v>
      </c>
      <c r="F276" s="10">
        <v>44183</v>
      </c>
      <c r="G276" s="8">
        <v>1</v>
      </c>
      <c r="H276" s="11" t="s">
        <v>18</v>
      </c>
      <c r="I276" s="11" t="s">
        <v>546</v>
      </c>
      <c r="J276" s="8">
        <v>1</v>
      </c>
      <c r="K276" s="8" t="s">
        <v>555</v>
      </c>
      <c r="L276" s="8">
        <v>10</v>
      </c>
      <c r="M276" s="13">
        <v>30</v>
      </c>
    </row>
    <row r="277" spans="1:13" x14ac:dyDescent="0.25">
      <c r="A277" s="7" t="s">
        <v>13</v>
      </c>
      <c r="B277" s="8" t="s">
        <v>14</v>
      </c>
      <c r="C277" s="8" t="s">
        <v>288</v>
      </c>
      <c r="D277" s="9" t="s">
        <v>331</v>
      </c>
      <c r="E277" s="8" t="s">
        <v>56</v>
      </c>
      <c r="F277" s="10">
        <v>44183</v>
      </c>
      <c r="G277" s="8">
        <v>1</v>
      </c>
      <c r="H277" s="11" t="s">
        <v>18</v>
      </c>
      <c r="I277" s="11" t="s">
        <v>546</v>
      </c>
      <c r="J277" s="8">
        <v>1</v>
      </c>
      <c r="K277" s="8" t="s">
        <v>547</v>
      </c>
      <c r="L277" s="8">
        <v>4</v>
      </c>
      <c r="M277" s="13">
        <v>12</v>
      </c>
    </row>
    <row r="278" spans="1:13" x14ac:dyDescent="0.25">
      <c r="A278" s="7" t="s">
        <v>13</v>
      </c>
      <c r="B278" s="8" t="s">
        <v>14</v>
      </c>
      <c r="C278" s="8" t="s">
        <v>408</v>
      </c>
      <c r="D278" s="9" t="s">
        <v>409</v>
      </c>
      <c r="E278" s="8" t="s">
        <v>281</v>
      </c>
      <c r="F278" s="10">
        <v>44183</v>
      </c>
      <c r="G278" s="8">
        <v>1</v>
      </c>
      <c r="H278" s="11" t="s">
        <v>18</v>
      </c>
      <c r="I278" s="11" t="s">
        <v>546</v>
      </c>
      <c r="J278" s="8">
        <v>1</v>
      </c>
      <c r="K278" s="8" t="s">
        <v>560</v>
      </c>
      <c r="L278" s="8">
        <v>10</v>
      </c>
      <c r="M278" s="13">
        <v>30</v>
      </c>
    </row>
    <row r="279" spans="1:13" x14ac:dyDescent="0.25">
      <c r="A279" s="7" t="s">
        <v>13</v>
      </c>
      <c r="B279" s="8" t="s">
        <v>14</v>
      </c>
      <c r="C279" s="8" t="s">
        <v>255</v>
      </c>
      <c r="D279" s="9" t="s">
        <v>410</v>
      </c>
      <c r="E279" s="8" t="s">
        <v>161</v>
      </c>
      <c r="F279" s="10">
        <v>44183</v>
      </c>
      <c r="G279" s="8">
        <v>4</v>
      </c>
      <c r="H279" s="11" t="s">
        <v>18</v>
      </c>
      <c r="I279" s="11" t="s">
        <v>546</v>
      </c>
      <c r="J279" s="8">
        <v>4</v>
      </c>
      <c r="K279" s="8" t="s">
        <v>564</v>
      </c>
      <c r="L279" s="8">
        <v>8</v>
      </c>
      <c r="M279" s="13">
        <v>32</v>
      </c>
    </row>
    <row r="280" spans="1:13" x14ac:dyDescent="0.25">
      <c r="A280" s="7" t="s">
        <v>13</v>
      </c>
      <c r="B280" s="8" t="s">
        <v>14</v>
      </c>
      <c r="C280" s="8" t="s">
        <v>411</v>
      </c>
      <c r="D280" s="9" t="s">
        <v>412</v>
      </c>
      <c r="E280" s="8" t="s">
        <v>17</v>
      </c>
      <c r="F280" s="10">
        <v>44183</v>
      </c>
      <c r="G280" s="8">
        <v>10</v>
      </c>
      <c r="H280" s="11" t="s">
        <v>18</v>
      </c>
      <c r="I280" s="11" t="s">
        <v>546</v>
      </c>
      <c r="J280" s="8">
        <v>10</v>
      </c>
      <c r="K280" s="8" t="s">
        <v>563</v>
      </c>
      <c r="L280" s="8">
        <v>3</v>
      </c>
      <c r="M280" s="13">
        <v>30</v>
      </c>
    </row>
    <row r="281" spans="1:13" x14ac:dyDescent="0.25">
      <c r="A281" s="7" t="s">
        <v>13</v>
      </c>
      <c r="B281" s="8" t="s">
        <v>14</v>
      </c>
      <c r="C281" s="8" t="s">
        <v>411</v>
      </c>
      <c r="D281" s="9" t="s">
        <v>413</v>
      </c>
      <c r="E281" s="8" t="s">
        <v>59</v>
      </c>
      <c r="F281" s="10">
        <v>44183</v>
      </c>
      <c r="G281" s="8">
        <v>8</v>
      </c>
      <c r="H281" s="11" t="s">
        <v>18</v>
      </c>
      <c r="I281" s="11" t="s">
        <v>546</v>
      </c>
      <c r="J281" s="8">
        <v>8</v>
      </c>
      <c r="K281" s="8" t="s">
        <v>558</v>
      </c>
      <c r="L281" s="8">
        <v>3</v>
      </c>
      <c r="M281" s="13">
        <v>24</v>
      </c>
    </row>
    <row r="282" spans="1:13" x14ac:dyDescent="0.25">
      <c r="A282" s="7" t="s">
        <v>13</v>
      </c>
      <c r="B282" s="8" t="s">
        <v>14</v>
      </c>
      <c r="C282" s="8" t="s">
        <v>414</v>
      </c>
      <c r="D282" s="9" t="s">
        <v>325</v>
      </c>
      <c r="E282" s="8" t="s">
        <v>290</v>
      </c>
      <c r="F282" s="10">
        <v>44184</v>
      </c>
      <c r="G282" s="8">
        <v>7</v>
      </c>
      <c r="H282" s="11" t="s">
        <v>18</v>
      </c>
      <c r="I282" s="11" t="s">
        <v>546</v>
      </c>
      <c r="J282" s="8">
        <v>7</v>
      </c>
      <c r="K282" s="8" t="s">
        <v>562</v>
      </c>
      <c r="L282" s="8">
        <v>4</v>
      </c>
      <c r="M282" s="13">
        <v>28</v>
      </c>
    </row>
    <row r="283" spans="1:13" x14ac:dyDescent="0.25">
      <c r="A283" s="7" t="s">
        <v>13</v>
      </c>
      <c r="B283" s="8" t="s">
        <v>14</v>
      </c>
      <c r="C283" s="8" t="s">
        <v>414</v>
      </c>
      <c r="D283" s="9" t="s">
        <v>415</v>
      </c>
      <c r="E283" s="8" t="s">
        <v>125</v>
      </c>
      <c r="F283" s="10">
        <v>44184</v>
      </c>
      <c r="G283" s="8">
        <v>8</v>
      </c>
      <c r="H283" s="11" t="s">
        <v>18</v>
      </c>
      <c r="I283" s="11" t="s">
        <v>546</v>
      </c>
      <c r="J283" s="8">
        <v>8</v>
      </c>
      <c r="K283" s="8" t="s">
        <v>566</v>
      </c>
      <c r="L283" s="8">
        <v>4</v>
      </c>
      <c r="M283" s="13">
        <v>32</v>
      </c>
    </row>
    <row r="284" spans="1:13" x14ac:dyDescent="0.25">
      <c r="A284" s="7" t="s">
        <v>13</v>
      </c>
      <c r="B284" s="8" t="s">
        <v>14</v>
      </c>
      <c r="C284" s="8" t="s">
        <v>414</v>
      </c>
      <c r="D284" s="9" t="s">
        <v>416</v>
      </c>
      <c r="E284" s="8" t="s">
        <v>72</v>
      </c>
      <c r="F284" s="10">
        <v>44184</v>
      </c>
      <c r="G284" s="8">
        <v>7</v>
      </c>
      <c r="H284" s="11" t="s">
        <v>18</v>
      </c>
      <c r="I284" s="11" t="s">
        <v>546</v>
      </c>
      <c r="J284" s="8">
        <v>7</v>
      </c>
      <c r="K284" s="8" t="s">
        <v>560</v>
      </c>
      <c r="L284" s="8">
        <v>4</v>
      </c>
      <c r="M284" s="13">
        <v>28</v>
      </c>
    </row>
    <row r="285" spans="1:13" x14ac:dyDescent="0.25">
      <c r="A285" s="7" t="s">
        <v>13</v>
      </c>
      <c r="B285" s="8" t="s">
        <v>14</v>
      </c>
      <c r="C285" s="8" t="s">
        <v>417</v>
      </c>
      <c r="D285" s="9" t="s">
        <v>68</v>
      </c>
      <c r="E285" s="8" t="s">
        <v>59</v>
      </c>
      <c r="F285" s="10">
        <v>44184</v>
      </c>
      <c r="G285" s="8">
        <v>8</v>
      </c>
      <c r="H285" s="11" t="s">
        <v>18</v>
      </c>
      <c r="I285" s="11" t="s">
        <v>546</v>
      </c>
      <c r="J285" s="8">
        <v>8</v>
      </c>
      <c r="K285" s="8" t="s">
        <v>558</v>
      </c>
      <c r="L285" s="8">
        <v>3</v>
      </c>
      <c r="M285" s="13">
        <v>24</v>
      </c>
    </row>
    <row r="286" spans="1:13" x14ac:dyDescent="0.25">
      <c r="A286" s="7" t="s">
        <v>13</v>
      </c>
      <c r="B286" s="8" t="s">
        <v>14</v>
      </c>
      <c r="C286" s="8" t="s">
        <v>418</v>
      </c>
      <c r="D286" s="9" t="s">
        <v>419</v>
      </c>
      <c r="E286" s="8" t="s">
        <v>17</v>
      </c>
      <c r="F286" s="10">
        <v>44184</v>
      </c>
      <c r="G286" s="8">
        <v>8</v>
      </c>
      <c r="H286" s="11" t="s">
        <v>18</v>
      </c>
      <c r="I286" s="11" t="s">
        <v>546</v>
      </c>
      <c r="J286" s="8">
        <v>8</v>
      </c>
      <c r="K286" s="8" t="s">
        <v>567</v>
      </c>
      <c r="L286" s="8">
        <v>5</v>
      </c>
      <c r="M286" s="13">
        <v>40</v>
      </c>
    </row>
    <row r="287" spans="1:13" x14ac:dyDescent="0.25">
      <c r="A287" s="7" t="s">
        <v>13</v>
      </c>
      <c r="B287" s="8" t="s">
        <v>14</v>
      </c>
      <c r="C287" s="8" t="s">
        <v>417</v>
      </c>
      <c r="D287" s="9" t="s">
        <v>55</v>
      </c>
      <c r="E287" s="8" t="s">
        <v>56</v>
      </c>
      <c r="F287" s="10">
        <v>44184</v>
      </c>
      <c r="G287" s="8">
        <v>7</v>
      </c>
      <c r="H287" s="11" t="s">
        <v>18</v>
      </c>
      <c r="I287" s="11" t="s">
        <v>546</v>
      </c>
      <c r="J287" s="8">
        <v>7</v>
      </c>
      <c r="K287" s="8" t="s">
        <v>556</v>
      </c>
      <c r="L287" s="8">
        <v>3</v>
      </c>
      <c r="M287" s="13">
        <v>21</v>
      </c>
    </row>
    <row r="288" spans="1:13" x14ac:dyDescent="0.25">
      <c r="A288" s="7" t="s">
        <v>13</v>
      </c>
      <c r="B288" s="8" t="s">
        <v>14</v>
      </c>
      <c r="C288" s="8" t="s">
        <v>417</v>
      </c>
      <c r="D288" s="9" t="s">
        <v>170</v>
      </c>
      <c r="E288" s="8" t="s">
        <v>17</v>
      </c>
      <c r="F288" s="10">
        <v>44184</v>
      </c>
      <c r="G288" s="8">
        <v>7</v>
      </c>
      <c r="H288" s="11" t="s">
        <v>18</v>
      </c>
      <c r="I288" s="11" t="s">
        <v>546</v>
      </c>
      <c r="J288" s="8">
        <v>7</v>
      </c>
      <c r="K288" s="8" t="s">
        <v>551</v>
      </c>
      <c r="L288" s="8">
        <v>3</v>
      </c>
      <c r="M288" s="13">
        <v>21</v>
      </c>
    </row>
    <row r="289" spans="1:13" ht="14.4" x14ac:dyDescent="0.25">
      <c r="A289" s="7" t="s">
        <v>13</v>
      </c>
      <c r="B289" s="8" t="s">
        <v>14</v>
      </c>
      <c r="C289" s="8" t="s">
        <v>575</v>
      </c>
      <c r="D289" s="9" t="s">
        <v>326</v>
      </c>
      <c r="E289" s="8" t="s">
        <v>56</v>
      </c>
      <c r="F289" s="10">
        <v>44184</v>
      </c>
      <c r="G289" s="8">
        <v>8</v>
      </c>
      <c r="H289" s="11" t="s">
        <v>18</v>
      </c>
      <c r="I289" s="11" t="s">
        <v>546</v>
      </c>
      <c r="J289" s="8">
        <v>8</v>
      </c>
      <c r="K289" s="8" t="s">
        <v>563</v>
      </c>
      <c r="L289" s="8">
        <v>5</v>
      </c>
      <c r="M289" s="13">
        <v>40</v>
      </c>
    </row>
    <row r="290" spans="1:13" x14ac:dyDescent="0.25">
      <c r="A290" s="7" t="s">
        <v>13</v>
      </c>
      <c r="B290" s="8" t="s">
        <v>14</v>
      </c>
      <c r="C290" s="8" t="s">
        <v>251</v>
      </c>
      <c r="D290" s="9" t="s">
        <v>256</v>
      </c>
      <c r="E290" s="8" t="s">
        <v>59</v>
      </c>
      <c r="F290" s="10">
        <v>44182</v>
      </c>
      <c r="G290" s="8">
        <v>2</v>
      </c>
      <c r="H290" s="11" t="s">
        <v>18</v>
      </c>
      <c r="I290" s="11" t="s">
        <v>546</v>
      </c>
      <c r="J290" s="8">
        <v>2</v>
      </c>
      <c r="K290" s="8" t="s">
        <v>556</v>
      </c>
      <c r="L290" s="8">
        <v>3</v>
      </c>
      <c r="M290" s="13">
        <v>18</v>
      </c>
    </row>
    <row r="291" spans="1:13" x14ac:dyDescent="0.25">
      <c r="A291" s="7" t="s">
        <v>13</v>
      </c>
      <c r="B291" s="8" t="s">
        <v>14</v>
      </c>
      <c r="C291" s="8" t="s">
        <v>402</v>
      </c>
      <c r="D291" s="9" t="s">
        <v>420</v>
      </c>
      <c r="E291" s="8" t="s">
        <v>56</v>
      </c>
      <c r="F291" s="10">
        <v>44181</v>
      </c>
      <c r="G291" s="8">
        <v>5</v>
      </c>
      <c r="H291" s="11" t="s">
        <v>18</v>
      </c>
      <c r="I291" s="11" t="s">
        <v>546</v>
      </c>
      <c r="J291" s="8">
        <v>5</v>
      </c>
      <c r="K291" s="8" t="s">
        <v>553</v>
      </c>
      <c r="L291" s="8">
        <v>5</v>
      </c>
      <c r="M291" s="13">
        <v>25</v>
      </c>
    </row>
    <row r="292" spans="1:13" x14ac:dyDescent="0.25">
      <c r="A292" s="7" t="s">
        <v>13</v>
      </c>
      <c r="B292" s="8" t="s">
        <v>19</v>
      </c>
      <c r="C292" s="8" t="s">
        <v>421</v>
      </c>
      <c r="D292" s="9" t="s">
        <v>243</v>
      </c>
      <c r="E292" s="8" t="s">
        <v>244</v>
      </c>
      <c r="F292" s="10">
        <v>44186</v>
      </c>
      <c r="G292" s="8">
        <v>12</v>
      </c>
      <c r="H292" s="11" t="s">
        <v>76</v>
      </c>
      <c r="I292" s="11" t="s">
        <v>546</v>
      </c>
      <c r="J292" s="8">
        <v>12</v>
      </c>
      <c r="K292" s="8" t="s">
        <v>570</v>
      </c>
      <c r="L292" s="8">
        <v>6</v>
      </c>
      <c r="M292" s="13">
        <v>72</v>
      </c>
    </row>
    <row r="293" spans="1:13" x14ac:dyDescent="0.25">
      <c r="A293" s="7" t="s">
        <v>13</v>
      </c>
      <c r="B293" s="8" t="s">
        <v>46</v>
      </c>
      <c r="C293" s="8" t="s">
        <v>422</v>
      </c>
      <c r="D293" s="9" t="s">
        <v>48</v>
      </c>
      <c r="E293" s="8" t="s">
        <v>49</v>
      </c>
      <c r="F293" s="10">
        <v>44186</v>
      </c>
      <c r="G293" s="8">
        <v>8</v>
      </c>
      <c r="H293" s="11" t="s">
        <v>50</v>
      </c>
      <c r="I293" s="11" t="s">
        <v>546</v>
      </c>
      <c r="J293" s="8">
        <v>8</v>
      </c>
      <c r="K293" s="8" t="s">
        <v>569</v>
      </c>
      <c r="L293" s="8">
        <v>3</v>
      </c>
      <c r="M293" s="13">
        <v>24</v>
      </c>
    </row>
    <row r="294" spans="1:13" x14ac:dyDescent="0.25">
      <c r="A294" s="7" t="s">
        <v>13</v>
      </c>
      <c r="B294" s="8" t="s">
        <v>19</v>
      </c>
      <c r="C294" s="8" t="s">
        <v>421</v>
      </c>
      <c r="D294" s="9" t="s">
        <v>243</v>
      </c>
      <c r="E294" s="8" t="s">
        <v>423</v>
      </c>
      <c r="F294" s="10">
        <v>44186</v>
      </c>
      <c r="G294" s="8">
        <v>6</v>
      </c>
      <c r="H294" s="11" t="s">
        <v>76</v>
      </c>
      <c r="I294" s="11" t="s">
        <v>546</v>
      </c>
      <c r="J294" s="8">
        <v>6</v>
      </c>
      <c r="K294" s="8" t="s">
        <v>570</v>
      </c>
      <c r="L294" s="8">
        <v>7</v>
      </c>
      <c r="M294" s="13">
        <v>42</v>
      </c>
    </row>
    <row r="295" spans="1:13" x14ac:dyDescent="0.25">
      <c r="A295" s="7" t="s">
        <v>13</v>
      </c>
      <c r="B295" s="8" t="s">
        <v>14</v>
      </c>
      <c r="C295" s="8" t="s">
        <v>393</v>
      </c>
      <c r="D295" s="9" t="s">
        <v>424</v>
      </c>
      <c r="E295" s="8" t="s">
        <v>56</v>
      </c>
      <c r="F295" s="10">
        <v>44186</v>
      </c>
      <c r="G295" s="8">
        <v>10</v>
      </c>
      <c r="H295" s="11" t="s">
        <v>18</v>
      </c>
      <c r="I295" s="11" t="s">
        <v>546</v>
      </c>
      <c r="J295" s="8">
        <v>10</v>
      </c>
      <c r="K295" s="8" t="s">
        <v>557</v>
      </c>
      <c r="L295" s="8">
        <v>3</v>
      </c>
      <c r="M295" s="13">
        <v>30</v>
      </c>
    </row>
    <row r="296" spans="1:13" x14ac:dyDescent="0.25">
      <c r="A296" s="7" t="s">
        <v>13</v>
      </c>
      <c r="B296" s="8" t="s">
        <v>24</v>
      </c>
      <c r="C296" s="8" t="s">
        <v>425</v>
      </c>
      <c r="D296" s="9" t="s">
        <v>426</v>
      </c>
      <c r="E296" s="8" t="s">
        <v>427</v>
      </c>
      <c r="F296" s="10">
        <v>44188</v>
      </c>
      <c r="G296" s="8">
        <v>4</v>
      </c>
      <c r="H296" s="11" t="s">
        <v>28</v>
      </c>
      <c r="I296" s="11" t="s">
        <v>546</v>
      </c>
      <c r="J296" s="8">
        <v>4</v>
      </c>
      <c r="K296" s="8" t="s">
        <v>549</v>
      </c>
      <c r="L296" s="8">
        <v>4</v>
      </c>
      <c r="M296" s="13">
        <v>16</v>
      </c>
    </row>
    <row r="297" spans="1:13" x14ac:dyDescent="0.25">
      <c r="A297" s="7" t="s">
        <v>13</v>
      </c>
      <c r="B297" s="8" t="s">
        <v>14</v>
      </c>
      <c r="C297" s="8" t="s">
        <v>428</v>
      </c>
      <c r="D297" s="9" t="s">
        <v>429</v>
      </c>
      <c r="E297" s="8" t="s">
        <v>17</v>
      </c>
      <c r="F297" s="10">
        <v>44186</v>
      </c>
      <c r="G297" s="8">
        <v>4</v>
      </c>
      <c r="H297" s="11" t="s">
        <v>18</v>
      </c>
      <c r="I297" s="11" t="s">
        <v>546</v>
      </c>
      <c r="J297" s="8">
        <v>4</v>
      </c>
      <c r="K297" s="8" t="s">
        <v>553</v>
      </c>
      <c r="L297" s="8">
        <v>5</v>
      </c>
      <c r="M297" s="13">
        <v>20</v>
      </c>
    </row>
    <row r="298" spans="1:13" x14ac:dyDescent="0.25">
      <c r="A298" s="7" t="s">
        <v>13</v>
      </c>
      <c r="B298" s="8" t="s">
        <v>14</v>
      </c>
      <c r="C298" s="8" t="s">
        <v>428</v>
      </c>
      <c r="D298" s="9" t="s">
        <v>430</v>
      </c>
      <c r="E298" s="8" t="s">
        <v>59</v>
      </c>
      <c r="F298" s="10">
        <v>44186</v>
      </c>
      <c r="G298" s="8">
        <v>9</v>
      </c>
      <c r="H298" s="11" t="s">
        <v>18</v>
      </c>
      <c r="I298" s="11" t="s">
        <v>546</v>
      </c>
      <c r="J298" s="8">
        <v>9</v>
      </c>
      <c r="K298" s="8" t="s">
        <v>553</v>
      </c>
      <c r="L298" s="8">
        <v>5</v>
      </c>
      <c r="M298" s="13">
        <v>45</v>
      </c>
    </row>
    <row r="299" spans="1:13" x14ac:dyDescent="0.25">
      <c r="A299" s="7" t="s">
        <v>13</v>
      </c>
      <c r="B299" s="8" t="s">
        <v>19</v>
      </c>
      <c r="C299" s="8" t="s">
        <v>431</v>
      </c>
      <c r="D299" s="9" t="s">
        <v>30</v>
      </c>
      <c r="E299" s="8" t="s">
        <v>31</v>
      </c>
      <c r="F299" s="10">
        <v>44188</v>
      </c>
      <c r="G299" s="8">
        <v>10</v>
      </c>
      <c r="H299" s="11" t="s">
        <v>23</v>
      </c>
      <c r="I299" s="11" t="s">
        <v>546</v>
      </c>
      <c r="J299" s="8">
        <v>10</v>
      </c>
      <c r="K299" s="8" t="s">
        <v>571</v>
      </c>
      <c r="L299" s="8">
        <v>3</v>
      </c>
      <c r="M299" s="13">
        <v>30</v>
      </c>
    </row>
    <row r="300" spans="1:13" x14ac:dyDescent="0.25">
      <c r="A300" s="7" t="s">
        <v>13</v>
      </c>
      <c r="B300" s="8" t="s">
        <v>19</v>
      </c>
      <c r="C300" s="8" t="s">
        <v>432</v>
      </c>
      <c r="D300" s="9" t="s">
        <v>30</v>
      </c>
      <c r="E300" s="8" t="s">
        <v>31</v>
      </c>
      <c r="F300" s="10">
        <v>44188</v>
      </c>
      <c r="G300" s="8">
        <v>10</v>
      </c>
      <c r="H300" s="11" t="s">
        <v>23</v>
      </c>
      <c r="I300" s="11" t="s">
        <v>546</v>
      </c>
      <c r="J300" s="8">
        <v>10</v>
      </c>
      <c r="K300" s="8" t="s">
        <v>561</v>
      </c>
      <c r="L300" s="8">
        <v>3</v>
      </c>
      <c r="M300" s="13">
        <v>30</v>
      </c>
    </row>
    <row r="301" spans="1:13" x14ac:dyDescent="0.25">
      <c r="A301" s="7" t="s">
        <v>13</v>
      </c>
      <c r="B301" s="8" t="s">
        <v>19</v>
      </c>
      <c r="C301" s="8" t="s">
        <v>369</v>
      </c>
      <c r="D301" s="9" t="s">
        <v>30</v>
      </c>
      <c r="E301" s="8" t="s">
        <v>31</v>
      </c>
      <c r="F301" s="10">
        <v>44188</v>
      </c>
      <c r="G301" s="8">
        <v>10</v>
      </c>
      <c r="H301" s="11" t="s">
        <v>23</v>
      </c>
      <c r="I301" s="11" t="s">
        <v>546</v>
      </c>
      <c r="J301" s="8">
        <v>10</v>
      </c>
      <c r="K301" s="8" t="s">
        <v>547</v>
      </c>
      <c r="L301" s="8">
        <v>2</v>
      </c>
      <c r="M301" s="13">
        <v>20</v>
      </c>
    </row>
    <row r="302" spans="1:13" x14ac:dyDescent="0.25">
      <c r="A302" s="7" t="s">
        <v>13</v>
      </c>
      <c r="B302" s="8" t="s">
        <v>19</v>
      </c>
      <c r="C302" s="8" t="s">
        <v>433</v>
      </c>
      <c r="D302" s="9" t="s">
        <v>434</v>
      </c>
      <c r="E302" s="8" t="s">
        <v>183</v>
      </c>
      <c r="F302" s="10">
        <v>44187</v>
      </c>
      <c r="G302" s="8">
        <v>2</v>
      </c>
      <c r="H302" s="11" t="s">
        <v>23</v>
      </c>
      <c r="I302" s="11" t="s">
        <v>546</v>
      </c>
      <c r="J302" s="8">
        <v>2</v>
      </c>
      <c r="K302" s="8" t="s">
        <v>557</v>
      </c>
      <c r="L302" s="8">
        <v>11</v>
      </c>
      <c r="M302" s="13">
        <v>66</v>
      </c>
    </row>
    <row r="303" spans="1:13" x14ac:dyDescent="0.25">
      <c r="A303" s="7" t="s">
        <v>13</v>
      </c>
      <c r="B303" s="8" t="s">
        <v>46</v>
      </c>
      <c r="C303" s="8" t="s">
        <v>435</v>
      </c>
      <c r="D303" s="9" t="s">
        <v>48</v>
      </c>
      <c r="E303" s="8" t="s">
        <v>145</v>
      </c>
      <c r="F303" s="10">
        <v>44187</v>
      </c>
      <c r="G303" s="8">
        <v>8</v>
      </c>
      <c r="H303" s="11" t="s">
        <v>50</v>
      </c>
      <c r="I303" s="11" t="s">
        <v>546</v>
      </c>
      <c r="J303" s="8">
        <v>8</v>
      </c>
      <c r="K303" s="8" t="s">
        <v>558</v>
      </c>
      <c r="L303" s="8">
        <v>2</v>
      </c>
      <c r="M303" s="13">
        <v>16</v>
      </c>
    </row>
    <row r="304" spans="1:13" x14ac:dyDescent="0.25">
      <c r="A304" s="7" t="s">
        <v>13</v>
      </c>
      <c r="B304" s="8" t="s">
        <v>14</v>
      </c>
      <c r="C304" s="8" t="s">
        <v>224</v>
      </c>
      <c r="D304" s="9" t="s">
        <v>436</v>
      </c>
      <c r="E304" s="8" t="s">
        <v>115</v>
      </c>
      <c r="F304" s="10">
        <v>44138</v>
      </c>
      <c r="G304" s="8">
        <v>1</v>
      </c>
      <c r="H304" s="11" t="s">
        <v>18</v>
      </c>
      <c r="I304" s="11" t="s">
        <v>546</v>
      </c>
      <c r="J304" s="8">
        <v>1</v>
      </c>
      <c r="K304" s="8" t="s">
        <v>549</v>
      </c>
      <c r="L304" s="8">
        <v>8</v>
      </c>
      <c r="M304" s="13">
        <v>24</v>
      </c>
    </row>
    <row r="305" spans="1:13" x14ac:dyDescent="0.25">
      <c r="A305" s="7" t="s">
        <v>13</v>
      </c>
      <c r="B305" s="8" t="s">
        <v>46</v>
      </c>
      <c r="C305" s="8" t="s">
        <v>437</v>
      </c>
      <c r="D305" s="9" t="s">
        <v>438</v>
      </c>
      <c r="E305" s="8" t="s">
        <v>137</v>
      </c>
      <c r="F305" s="10">
        <v>44182</v>
      </c>
      <c r="G305" s="8">
        <v>3</v>
      </c>
      <c r="H305" s="11" t="s">
        <v>99</v>
      </c>
      <c r="I305" s="11" t="s">
        <v>546</v>
      </c>
      <c r="J305" s="8">
        <v>3</v>
      </c>
      <c r="K305" s="8" t="s">
        <v>559</v>
      </c>
      <c r="L305" s="8">
        <v>3.5</v>
      </c>
      <c r="M305" s="13">
        <v>31.5</v>
      </c>
    </row>
    <row r="306" spans="1:13" x14ac:dyDescent="0.25">
      <c r="A306" s="7" t="s">
        <v>13</v>
      </c>
      <c r="B306" s="8" t="s">
        <v>19</v>
      </c>
      <c r="C306" s="8" t="s">
        <v>43</v>
      </c>
      <c r="D306" s="9" t="s">
        <v>74</v>
      </c>
      <c r="E306" s="8" t="s">
        <v>439</v>
      </c>
      <c r="F306" s="10">
        <v>44182</v>
      </c>
      <c r="G306" s="8">
        <v>3</v>
      </c>
      <c r="H306" s="11" t="s">
        <v>76</v>
      </c>
      <c r="I306" s="11" t="s">
        <v>546</v>
      </c>
      <c r="J306" s="8">
        <v>3</v>
      </c>
      <c r="K306" s="8" t="s">
        <v>574</v>
      </c>
      <c r="L306" s="8">
        <v>2.5</v>
      </c>
      <c r="M306" s="13">
        <v>22.5</v>
      </c>
    </row>
    <row r="307" spans="1:13" x14ac:dyDescent="0.25">
      <c r="A307" s="7" t="s">
        <v>13</v>
      </c>
      <c r="B307" s="8" t="s">
        <v>19</v>
      </c>
      <c r="C307" s="8" t="s">
        <v>440</v>
      </c>
      <c r="D307" s="9" t="s">
        <v>30</v>
      </c>
      <c r="E307" s="8" t="s">
        <v>31</v>
      </c>
      <c r="F307" s="10">
        <v>44182</v>
      </c>
      <c r="G307" s="8">
        <v>10</v>
      </c>
      <c r="H307" s="11" t="s">
        <v>23</v>
      </c>
      <c r="I307" s="11" t="s">
        <v>546</v>
      </c>
      <c r="J307" s="8">
        <v>10</v>
      </c>
      <c r="K307" s="8" t="s">
        <v>559</v>
      </c>
      <c r="L307" s="8">
        <v>4</v>
      </c>
      <c r="M307" s="13">
        <v>40</v>
      </c>
    </row>
    <row r="308" spans="1:13" x14ac:dyDescent="0.25">
      <c r="A308" s="7" t="s">
        <v>13</v>
      </c>
      <c r="B308" s="8" t="s">
        <v>19</v>
      </c>
      <c r="C308" s="8" t="s">
        <v>440</v>
      </c>
      <c r="D308" s="9" t="s">
        <v>30</v>
      </c>
      <c r="E308" s="8" t="s">
        <v>44</v>
      </c>
      <c r="F308" s="10">
        <v>44182</v>
      </c>
      <c r="G308" s="8">
        <v>10</v>
      </c>
      <c r="H308" s="11" t="s">
        <v>23</v>
      </c>
      <c r="I308" s="11" t="s">
        <v>546</v>
      </c>
      <c r="J308" s="8">
        <v>10</v>
      </c>
      <c r="K308" s="8" t="s">
        <v>547</v>
      </c>
      <c r="L308" s="8">
        <v>4</v>
      </c>
      <c r="M308" s="13">
        <v>40</v>
      </c>
    </row>
    <row r="309" spans="1:13" x14ac:dyDescent="0.25">
      <c r="A309" s="7" t="s">
        <v>13</v>
      </c>
      <c r="B309" s="8" t="s">
        <v>46</v>
      </c>
      <c r="C309" s="8" t="s">
        <v>181</v>
      </c>
      <c r="D309" s="9" t="s">
        <v>438</v>
      </c>
      <c r="E309" s="8" t="s">
        <v>304</v>
      </c>
      <c r="F309" s="10">
        <v>44182</v>
      </c>
      <c r="G309" s="8">
        <v>3</v>
      </c>
      <c r="H309" s="11" t="s">
        <v>99</v>
      </c>
      <c r="I309" s="11" t="s">
        <v>546</v>
      </c>
      <c r="J309" s="8">
        <v>3</v>
      </c>
      <c r="K309" s="8" t="s">
        <v>568</v>
      </c>
      <c r="L309" s="8">
        <v>3.5</v>
      </c>
      <c r="M309" s="13">
        <v>31.5</v>
      </c>
    </row>
    <row r="310" spans="1:13" x14ac:dyDescent="0.25">
      <c r="A310" s="7" t="s">
        <v>13</v>
      </c>
      <c r="B310" s="8" t="s">
        <v>19</v>
      </c>
      <c r="C310" s="8" t="s">
        <v>441</v>
      </c>
      <c r="D310" s="9" t="s">
        <v>442</v>
      </c>
      <c r="E310" s="8" t="s">
        <v>89</v>
      </c>
      <c r="F310" s="10">
        <v>44182</v>
      </c>
      <c r="G310" s="8">
        <v>5</v>
      </c>
      <c r="H310" s="11" t="s">
        <v>23</v>
      </c>
      <c r="I310" s="11" t="s">
        <v>546</v>
      </c>
      <c r="J310" s="8">
        <v>4</v>
      </c>
      <c r="K310" s="8" t="s">
        <v>548</v>
      </c>
      <c r="L310" s="8">
        <v>2.5</v>
      </c>
      <c r="M310" s="13">
        <v>10</v>
      </c>
    </row>
    <row r="311" spans="1:13" x14ac:dyDescent="0.25">
      <c r="A311" s="7" t="s">
        <v>13</v>
      </c>
      <c r="B311" s="8" t="s">
        <v>19</v>
      </c>
      <c r="C311" s="8" t="s">
        <v>129</v>
      </c>
      <c r="D311" s="9" t="s">
        <v>443</v>
      </c>
      <c r="E311" s="8" t="s">
        <v>89</v>
      </c>
      <c r="F311" s="10">
        <v>44182</v>
      </c>
      <c r="G311" s="8">
        <v>4</v>
      </c>
      <c r="H311" s="11" t="s">
        <v>23</v>
      </c>
      <c r="I311" s="11" t="s">
        <v>546</v>
      </c>
      <c r="J311" s="8">
        <v>4</v>
      </c>
      <c r="K311" s="8" t="s">
        <v>557</v>
      </c>
      <c r="L311" s="8">
        <v>2.5</v>
      </c>
      <c r="M311" s="13">
        <v>10</v>
      </c>
    </row>
    <row r="312" spans="1:13" x14ac:dyDescent="0.25">
      <c r="A312" s="7" t="s">
        <v>13</v>
      </c>
      <c r="B312" s="8" t="s">
        <v>46</v>
      </c>
      <c r="C312" s="8" t="s">
        <v>444</v>
      </c>
      <c r="D312" s="9" t="s">
        <v>445</v>
      </c>
      <c r="E312" s="8" t="s">
        <v>145</v>
      </c>
      <c r="F312" s="10">
        <v>44182</v>
      </c>
      <c r="G312" s="8">
        <v>6</v>
      </c>
      <c r="H312" s="11" t="s">
        <v>50</v>
      </c>
      <c r="I312" s="11" t="s">
        <v>546</v>
      </c>
      <c r="J312" s="8">
        <v>6</v>
      </c>
      <c r="K312" s="8" t="s">
        <v>549</v>
      </c>
      <c r="L312" s="8">
        <v>3.5</v>
      </c>
      <c r="M312" s="13">
        <v>21</v>
      </c>
    </row>
    <row r="313" spans="1:13" x14ac:dyDescent="0.25">
      <c r="A313" s="7" t="s">
        <v>13</v>
      </c>
      <c r="B313" s="8" t="s">
        <v>46</v>
      </c>
      <c r="C313" s="8" t="s">
        <v>446</v>
      </c>
      <c r="D313" s="9" t="s">
        <v>445</v>
      </c>
      <c r="E313" s="8" t="s">
        <v>385</v>
      </c>
      <c r="F313" s="10">
        <v>44182</v>
      </c>
      <c r="G313" s="8">
        <v>6</v>
      </c>
      <c r="H313" s="11" t="s">
        <v>50</v>
      </c>
      <c r="I313" s="11" t="s">
        <v>546</v>
      </c>
      <c r="J313" s="8">
        <v>6</v>
      </c>
      <c r="K313" s="8" t="s">
        <v>557</v>
      </c>
      <c r="L313" s="8">
        <v>3</v>
      </c>
      <c r="M313" s="13">
        <v>18</v>
      </c>
    </row>
    <row r="314" spans="1:13" x14ac:dyDescent="0.25">
      <c r="A314" s="7" t="s">
        <v>13</v>
      </c>
      <c r="B314" s="8" t="s">
        <v>46</v>
      </c>
      <c r="C314" s="8" t="s">
        <v>447</v>
      </c>
      <c r="D314" s="9" t="s">
        <v>48</v>
      </c>
      <c r="E314" s="8" t="s">
        <v>165</v>
      </c>
      <c r="F314" s="10">
        <v>44182</v>
      </c>
      <c r="G314" s="8">
        <v>8</v>
      </c>
      <c r="H314" s="11" t="s">
        <v>50</v>
      </c>
      <c r="I314" s="11" t="s">
        <v>546</v>
      </c>
      <c r="J314" s="8">
        <v>8</v>
      </c>
      <c r="K314" s="8" t="s">
        <v>548</v>
      </c>
      <c r="L314" s="8">
        <v>2</v>
      </c>
      <c r="M314" s="13">
        <v>16</v>
      </c>
    </row>
    <row r="315" spans="1:13" x14ac:dyDescent="0.25">
      <c r="A315" s="7" t="s">
        <v>13</v>
      </c>
      <c r="B315" s="8" t="s">
        <v>19</v>
      </c>
      <c r="C315" s="8" t="s">
        <v>448</v>
      </c>
      <c r="D315" s="9" t="s">
        <v>449</v>
      </c>
      <c r="E315" s="8" t="s">
        <v>81</v>
      </c>
      <c r="F315" s="10">
        <v>44175</v>
      </c>
      <c r="G315" s="8">
        <v>12</v>
      </c>
      <c r="H315" s="11" t="s">
        <v>23</v>
      </c>
      <c r="I315" s="11" t="s">
        <v>546</v>
      </c>
      <c r="J315" s="8">
        <v>12</v>
      </c>
      <c r="K315" s="8" t="s">
        <v>553</v>
      </c>
      <c r="L315" s="8">
        <v>5</v>
      </c>
      <c r="M315" s="13">
        <v>60</v>
      </c>
    </row>
    <row r="316" spans="1:13" x14ac:dyDescent="0.25">
      <c r="A316" s="7" t="s">
        <v>13</v>
      </c>
      <c r="B316" s="8" t="s">
        <v>46</v>
      </c>
      <c r="C316" s="8" t="s">
        <v>450</v>
      </c>
      <c r="D316" s="9" t="s">
        <v>48</v>
      </c>
      <c r="E316" s="8" t="s">
        <v>355</v>
      </c>
      <c r="F316" s="10">
        <v>44182</v>
      </c>
      <c r="G316" s="8">
        <v>8</v>
      </c>
      <c r="H316" s="11" t="s">
        <v>50</v>
      </c>
      <c r="I316" s="11" t="s">
        <v>546</v>
      </c>
      <c r="J316" s="8">
        <v>8</v>
      </c>
      <c r="K316" s="8" t="s">
        <v>551</v>
      </c>
      <c r="L316" s="8">
        <v>2.1</v>
      </c>
      <c r="M316" s="13">
        <v>16.8</v>
      </c>
    </row>
    <row r="317" spans="1:13" x14ac:dyDescent="0.25">
      <c r="A317" s="7" t="s">
        <v>13</v>
      </c>
      <c r="B317" s="8" t="s">
        <v>46</v>
      </c>
      <c r="C317" s="8" t="s">
        <v>451</v>
      </c>
      <c r="D317" s="9" t="s">
        <v>48</v>
      </c>
      <c r="E317" s="8" t="s">
        <v>165</v>
      </c>
      <c r="F317" s="10">
        <v>44183</v>
      </c>
      <c r="G317" s="8">
        <v>8</v>
      </c>
      <c r="H317" s="11" t="s">
        <v>50</v>
      </c>
      <c r="I317" s="11" t="s">
        <v>546</v>
      </c>
      <c r="J317" s="8">
        <v>8</v>
      </c>
      <c r="K317" s="8" t="s">
        <v>569</v>
      </c>
      <c r="L317" s="8">
        <v>3</v>
      </c>
      <c r="M317" s="13">
        <v>24</v>
      </c>
    </row>
    <row r="318" spans="1:13" x14ac:dyDescent="0.25">
      <c r="A318" s="7" t="s">
        <v>13</v>
      </c>
      <c r="B318" s="8" t="s">
        <v>46</v>
      </c>
      <c r="C318" s="8" t="s">
        <v>452</v>
      </c>
      <c r="D318" s="9" t="s">
        <v>445</v>
      </c>
      <c r="E318" s="8" t="s">
        <v>453</v>
      </c>
      <c r="F318" s="10">
        <v>44183</v>
      </c>
      <c r="G318" s="8">
        <v>6</v>
      </c>
      <c r="H318" s="11" t="s">
        <v>50</v>
      </c>
      <c r="I318" s="11" t="s">
        <v>546</v>
      </c>
      <c r="J318" s="8">
        <v>6</v>
      </c>
      <c r="K318" s="8" t="s">
        <v>567</v>
      </c>
      <c r="L318" s="8">
        <v>2.5</v>
      </c>
      <c r="M318" s="13">
        <v>15</v>
      </c>
    </row>
    <row r="319" spans="1:13" x14ac:dyDescent="0.25">
      <c r="A319" s="7" t="s">
        <v>13</v>
      </c>
      <c r="B319" s="8" t="s">
        <v>19</v>
      </c>
      <c r="C319" s="8" t="s">
        <v>454</v>
      </c>
      <c r="D319" s="9" t="s">
        <v>141</v>
      </c>
      <c r="E319" s="8" t="s">
        <v>81</v>
      </c>
      <c r="F319" s="10">
        <v>44183</v>
      </c>
      <c r="G319" s="8">
        <v>3</v>
      </c>
      <c r="H319" s="11" t="s">
        <v>42</v>
      </c>
      <c r="I319" s="11" t="s">
        <v>546</v>
      </c>
      <c r="J319" s="8">
        <v>3</v>
      </c>
      <c r="K319" s="8" t="s">
        <v>560</v>
      </c>
      <c r="L319" s="8">
        <v>2</v>
      </c>
      <c r="M319" s="13">
        <v>18</v>
      </c>
    </row>
    <row r="320" spans="1:13" x14ac:dyDescent="0.25">
      <c r="A320" s="7" t="s">
        <v>13</v>
      </c>
      <c r="B320" s="8" t="s">
        <v>19</v>
      </c>
      <c r="C320" s="8" t="s">
        <v>455</v>
      </c>
      <c r="D320" s="9" t="s">
        <v>210</v>
      </c>
      <c r="E320" s="8" t="s">
        <v>211</v>
      </c>
      <c r="F320" s="10">
        <v>44182</v>
      </c>
      <c r="G320" s="8">
        <v>4</v>
      </c>
      <c r="H320" s="11" t="s">
        <v>23</v>
      </c>
      <c r="I320" s="11" t="s">
        <v>546</v>
      </c>
      <c r="J320" s="8">
        <v>4</v>
      </c>
      <c r="K320" s="8" t="s">
        <v>552</v>
      </c>
      <c r="L320" s="8">
        <v>4</v>
      </c>
      <c r="M320" s="13">
        <v>16</v>
      </c>
    </row>
    <row r="321" spans="1:13" x14ac:dyDescent="0.25">
      <c r="A321" s="7" t="s">
        <v>13</v>
      </c>
      <c r="B321" s="8" t="s">
        <v>14</v>
      </c>
      <c r="C321" s="8" t="s">
        <v>456</v>
      </c>
      <c r="D321" s="9" t="s">
        <v>68</v>
      </c>
      <c r="E321" s="8" t="s">
        <v>59</v>
      </c>
      <c r="F321" s="10">
        <v>44182</v>
      </c>
      <c r="G321" s="8">
        <v>8</v>
      </c>
      <c r="H321" s="11" t="s">
        <v>18</v>
      </c>
      <c r="I321" s="11" t="s">
        <v>546</v>
      </c>
      <c r="J321" s="8">
        <v>8</v>
      </c>
      <c r="K321" s="8" t="s">
        <v>567</v>
      </c>
      <c r="L321" s="8">
        <v>4</v>
      </c>
      <c r="M321" s="13">
        <v>32</v>
      </c>
    </row>
    <row r="322" spans="1:13" x14ac:dyDescent="0.25">
      <c r="A322" s="7" t="s">
        <v>13</v>
      </c>
      <c r="B322" s="8" t="s">
        <v>14</v>
      </c>
      <c r="C322" s="8" t="s">
        <v>456</v>
      </c>
      <c r="D322" s="9" t="s">
        <v>457</v>
      </c>
      <c r="E322" s="8" t="s">
        <v>17</v>
      </c>
      <c r="F322" s="10">
        <v>44182</v>
      </c>
      <c r="G322" s="8">
        <v>2</v>
      </c>
      <c r="H322" s="11" t="s">
        <v>18</v>
      </c>
      <c r="I322" s="11" t="s">
        <v>546</v>
      </c>
      <c r="J322" s="8">
        <v>2</v>
      </c>
      <c r="K322" s="8" t="s">
        <v>561</v>
      </c>
      <c r="L322" s="8">
        <v>4</v>
      </c>
      <c r="M322" s="13">
        <v>24</v>
      </c>
    </row>
    <row r="323" spans="1:13" x14ac:dyDescent="0.25">
      <c r="A323" s="7" t="s">
        <v>13</v>
      </c>
      <c r="B323" s="8" t="s">
        <v>14</v>
      </c>
      <c r="C323" s="8" t="s">
        <v>458</v>
      </c>
      <c r="D323" s="9" t="s">
        <v>459</v>
      </c>
      <c r="E323" s="8" t="s">
        <v>59</v>
      </c>
      <c r="F323" s="10">
        <v>44182</v>
      </c>
      <c r="G323" s="8">
        <v>10</v>
      </c>
      <c r="H323" s="11" t="s">
        <v>18</v>
      </c>
      <c r="I323" s="11" t="s">
        <v>546</v>
      </c>
      <c r="J323" s="8">
        <v>10</v>
      </c>
      <c r="K323" s="8" t="s">
        <v>567</v>
      </c>
      <c r="L323" s="8">
        <v>7</v>
      </c>
      <c r="M323" s="13">
        <v>70</v>
      </c>
    </row>
    <row r="324" spans="1:13" x14ac:dyDescent="0.25">
      <c r="A324" s="7" t="s">
        <v>13</v>
      </c>
      <c r="B324" s="8" t="s">
        <v>14</v>
      </c>
      <c r="C324" s="8" t="s">
        <v>458</v>
      </c>
      <c r="D324" s="9" t="s">
        <v>460</v>
      </c>
      <c r="E324" s="8" t="s">
        <v>17</v>
      </c>
      <c r="F324" s="10">
        <v>44182</v>
      </c>
      <c r="G324" s="8">
        <v>10</v>
      </c>
      <c r="H324" s="11" t="s">
        <v>18</v>
      </c>
      <c r="I324" s="11" t="s">
        <v>546</v>
      </c>
      <c r="J324" s="8">
        <v>10</v>
      </c>
      <c r="K324" s="8" t="s">
        <v>560</v>
      </c>
      <c r="L324" s="8">
        <v>7</v>
      </c>
      <c r="M324" s="13">
        <v>70</v>
      </c>
    </row>
    <row r="325" spans="1:13" x14ac:dyDescent="0.25">
      <c r="A325" s="7" t="s">
        <v>13</v>
      </c>
      <c r="B325" s="8" t="s">
        <v>14</v>
      </c>
      <c r="C325" s="8" t="s">
        <v>461</v>
      </c>
      <c r="D325" s="9" t="s">
        <v>462</v>
      </c>
      <c r="E325" s="8" t="s">
        <v>72</v>
      </c>
      <c r="F325" s="10">
        <v>44182</v>
      </c>
      <c r="G325" s="8">
        <v>7</v>
      </c>
      <c r="H325" s="11" t="s">
        <v>18</v>
      </c>
      <c r="I325" s="11" t="s">
        <v>546</v>
      </c>
      <c r="J325" s="8">
        <v>7</v>
      </c>
      <c r="K325" s="8" t="s">
        <v>560</v>
      </c>
      <c r="L325" s="8">
        <v>3</v>
      </c>
      <c r="M325" s="13">
        <v>21</v>
      </c>
    </row>
    <row r="326" spans="1:13" x14ac:dyDescent="0.25">
      <c r="A326" s="7" t="s">
        <v>13</v>
      </c>
      <c r="B326" s="8" t="s">
        <v>14</v>
      </c>
      <c r="C326" s="8" t="s">
        <v>461</v>
      </c>
      <c r="D326" s="9" t="s">
        <v>463</v>
      </c>
      <c r="E326" s="8" t="s">
        <v>17</v>
      </c>
      <c r="F326" s="10">
        <v>44182</v>
      </c>
      <c r="G326" s="8">
        <v>7</v>
      </c>
      <c r="H326" s="11" t="s">
        <v>18</v>
      </c>
      <c r="I326" s="11" t="s">
        <v>546</v>
      </c>
      <c r="J326" s="8">
        <v>7</v>
      </c>
      <c r="K326" s="8" t="s">
        <v>558</v>
      </c>
      <c r="L326" s="8">
        <v>3</v>
      </c>
      <c r="M326" s="13">
        <v>21</v>
      </c>
    </row>
    <row r="327" spans="1:13" x14ac:dyDescent="0.25">
      <c r="A327" s="7" t="s">
        <v>13</v>
      </c>
      <c r="B327" s="8" t="s">
        <v>19</v>
      </c>
      <c r="C327" s="8" t="s">
        <v>464</v>
      </c>
      <c r="D327" s="9" t="s">
        <v>398</v>
      </c>
      <c r="E327" s="8" t="s">
        <v>31</v>
      </c>
      <c r="F327" s="10">
        <v>44182</v>
      </c>
      <c r="G327" s="8">
        <v>9</v>
      </c>
      <c r="H327" s="11" t="s">
        <v>23</v>
      </c>
      <c r="I327" s="11" t="s">
        <v>546</v>
      </c>
      <c r="J327" s="8">
        <v>9</v>
      </c>
      <c r="K327" s="8" t="s">
        <v>551</v>
      </c>
      <c r="L327" s="8">
        <v>3.5</v>
      </c>
      <c r="M327" s="13">
        <v>31.5</v>
      </c>
    </row>
    <row r="328" spans="1:13" x14ac:dyDescent="0.25">
      <c r="A328" s="7" t="s">
        <v>13</v>
      </c>
      <c r="B328" s="8" t="s">
        <v>19</v>
      </c>
      <c r="C328" s="8" t="s">
        <v>465</v>
      </c>
      <c r="D328" s="9" t="s">
        <v>30</v>
      </c>
      <c r="E328" s="8" t="s">
        <v>31</v>
      </c>
      <c r="F328" s="10">
        <v>44182</v>
      </c>
      <c r="G328" s="8">
        <v>10</v>
      </c>
      <c r="H328" s="11" t="s">
        <v>23</v>
      </c>
      <c r="I328" s="11" t="s">
        <v>546</v>
      </c>
      <c r="J328" s="8">
        <v>10</v>
      </c>
      <c r="K328" s="8" t="s">
        <v>557</v>
      </c>
      <c r="L328" s="8">
        <v>3.5</v>
      </c>
      <c r="M328" s="13">
        <v>35</v>
      </c>
    </row>
    <row r="329" spans="1:13" x14ac:dyDescent="0.25">
      <c r="A329" s="7" t="s">
        <v>13</v>
      </c>
      <c r="B329" s="8" t="s">
        <v>19</v>
      </c>
      <c r="C329" s="8" t="s">
        <v>465</v>
      </c>
      <c r="D329" s="9" t="s">
        <v>30</v>
      </c>
      <c r="E329" s="8" t="s">
        <v>44</v>
      </c>
      <c r="F329" s="10">
        <v>44182</v>
      </c>
      <c r="G329" s="8">
        <v>10</v>
      </c>
      <c r="H329" s="11" t="s">
        <v>23</v>
      </c>
      <c r="I329" s="11" t="s">
        <v>546</v>
      </c>
      <c r="J329" s="8">
        <v>10</v>
      </c>
      <c r="K329" s="8" t="s">
        <v>572</v>
      </c>
      <c r="L329" s="8">
        <v>3.5</v>
      </c>
      <c r="M329" s="13">
        <v>35</v>
      </c>
    </row>
    <row r="330" spans="1:13" x14ac:dyDescent="0.25">
      <c r="A330" s="7" t="s">
        <v>13</v>
      </c>
      <c r="B330" s="8" t="s">
        <v>46</v>
      </c>
      <c r="C330" s="8" t="s">
        <v>465</v>
      </c>
      <c r="D330" s="9" t="s">
        <v>48</v>
      </c>
      <c r="E330" s="8" t="s">
        <v>98</v>
      </c>
      <c r="F330" s="10">
        <v>44182</v>
      </c>
      <c r="G330" s="8">
        <v>8</v>
      </c>
      <c r="H330" s="11" t="s">
        <v>50</v>
      </c>
      <c r="I330" s="11" t="s">
        <v>546</v>
      </c>
      <c r="J330" s="8">
        <v>8</v>
      </c>
      <c r="K330" s="8" t="s">
        <v>563</v>
      </c>
      <c r="L330" s="8">
        <v>3.5</v>
      </c>
      <c r="M330" s="13">
        <v>28</v>
      </c>
    </row>
    <row r="331" spans="1:13" x14ac:dyDescent="0.25">
      <c r="A331" s="7" t="s">
        <v>13</v>
      </c>
      <c r="B331" s="8" t="s">
        <v>46</v>
      </c>
      <c r="C331" s="8" t="s">
        <v>466</v>
      </c>
      <c r="D331" s="9" t="s">
        <v>139</v>
      </c>
      <c r="E331" s="8" t="s">
        <v>105</v>
      </c>
      <c r="F331" s="10">
        <v>44182</v>
      </c>
      <c r="G331" s="8">
        <v>5</v>
      </c>
      <c r="H331" s="11" t="s">
        <v>50</v>
      </c>
      <c r="I331" s="11" t="s">
        <v>546</v>
      </c>
      <c r="J331" s="8">
        <v>5</v>
      </c>
      <c r="K331" s="8" t="s">
        <v>568</v>
      </c>
      <c r="L331" s="8">
        <v>2</v>
      </c>
      <c r="M331" s="13">
        <v>10</v>
      </c>
    </row>
    <row r="332" spans="1:13" x14ac:dyDescent="0.25">
      <c r="A332" s="7" t="s">
        <v>13</v>
      </c>
      <c r="B332" s="8" t="s">
        <v>19</v>
      </c>
      <c r="C332" s="8" t="s">
        <v>467</v>
      </c>
      <c r="D332" s="9" t="s">
        <v>302</v>
      </c>
      <c r="E332" s="8" t="s">
        <v>89</v>
      </c>
      <c r="F332" s="10">
        <v>44182</v>
      </c>
      <c r="G332" s="8">
        <v>5</v>
      </c>
      <c r="H332" s="11" t="s">
        <v>42</v>
      </c>
      <c r="I332" s="11" t="s">
        <v>546</v>
      </c>
      <c r="J332" s="8">
        <v>5</v>
      </c>
      <c r="K332" s="8" t="s">
        <v>547</v>
      </c>
      <c r="L332" s="8">
        <v>2</v>
      </c>
      <c r="M332" s="13">
        <v>10</v>
      </c>
    </row>
    <row r="333" spans="1:13" x14ac:dyDescent="0.25">
      <c r="A333" s="7" t="s">
        <v>13</v>
      </c>
      <c r="B333" s="8" t="s">
        <v>14</v>
      </c>
      <c r="C333" s="8" t="s">
        <v>468</v>
      </c>
      <c r="D333" s="9" t="s">
        <v>469</v>
      </c>
      <c r="E333" s="8" t="s">
        <v>59</v>
      </c>
      <c r="F333" s="10">
        <v>44180</v>
      </c>
      <c r="G333" s="8">
        <v>6</v>
      </c>
      <c r="H333" s="11" t="s">
        <v>18</v>
      </c>
      <c r="I333" s="11" t="s">
        <v>546</v>
      </c>
      <c r="J333" s="8">
        <v>6</v>
      </c>
      <c r="K333" s="8" t="s">
        <v>555</v>
      </c>
      <c r="L333" s="8">
        <v>6</v>
      </c>
      <c r="M333" s="13">
        <v>36</v>
      </c>
    </row>
    <row r="334" spans="1:13" x14ac:dyDescent="0.25">
      <c r="A334" s="7" t="s">
        <v>13</v>
      </c>
      <c r="B334" s="8" t="s">
        <v>14</v>
      </c>
      <c r="C334" s="8" t="s">
        <v>470</v>
      </c>
      <c r="D334" s="9" t="s">
        <v>471</v>
      </c>
      <c r="E334" s="8" t="s">
        <v>321</v>
      </c>
      <c r="F334" s="10">
        <v>44180</v>
      </c>
      <c r="G334" s="8">
        <v>6</v>
      </c>
      <c r="H334" s="11" t="s">
        <v>18</v>
      </c>
      <c r="I334" s="11" t="s">
        <v>546</v>
      </c>
      <c r="J334" s="8">
        <v>6</v>
      </c>
      <c r="K334" s="8" t="s">
        <v>547</v>
      </c>
      <c r="L334" s="8">
        <v>5</v>
      </c>
      <c r="M334" s="13">
        <v>30</v>
      </c>
    </row>
    <row r="335" spans="1:13" x14ac:dyDescent="0.25">
      <c r="A335" s="7" t="s">
        <v>13</v>
      </c>
      <c r="B335" s="8" t="s">
        <v>14</v>
      </c>
      <c r="C335" s="8" t="s">
        <v>472</v>
      </c>
      <c r="D335" s="9" t="s">
        <v>463</v>
      </c>
      <c r="E335" s="8" t="s">
        <v>56</v>
      </c>
      <c r="F335" s="10">
        <v>44180</v>
      </c>
      <c r="G335" s="8">
        <v>7</v>
      </c>
      <c r="H335" s="11" t="s">
        <v>18</v>
      </c>
      <c r="I335" s="11" t="s">
        <v>546</v>
      </c>
      <c r="J335" s="8">
        <v>7</v>
      </c>
      <c r="K335" s="8" t="s">
        <v>550</v>
      </c>
      <c r="L335" s="8">
        <v>7</v>
      </c>
      <c r="M335" s="13">
        <v>49</v>
      </c>
    </row>
    <row r="336" spans="1:13" x14ac:dyDescent="0.25">
      <c r="A336" s="7" t="s">
        <v>13</v>
      </c>
      <c r="B336" s="8" t="s">
        <v>14</v>
      </c>
      <c r="C336" s="8" t="s">
        <v>473</v>
      </c>
      <c r="D336" s="9" t="s">
        <v>474</v>
      </c>
      <c r="E336" s="8" t="s">
        <v>273</v>
      </c>
      <c r="F336" s="10">
        <v>44180</v>
      </c>
      <c r="G336" s="8">
        <v>5</v>
      </c>
      <c r="H336" s="11" t="s">
        <v>18</v>
      </c>
      <c r="I336" s="11" t="s">
        <v>546</v>
      </c>
      <c r="J336" s="8">
        <v>5</v>
      </c>
      <c r="K336" s="8" t="s">
        <v>558</v>
      </c>
      <c r="L336" s="8">
        <v>2</v>
      </c>
      <c r="M336" s="13">
        <v>10</v>
      </c>
    </row>
    <row r="337" spans="1:13" x14ac:dyDescent="0.25">
      <c r="A337" s="7" t="s">
        <v>13</v>
      </c>
      <c r="B337" s="8" t="s">
        <v>14</v>
      </c>
      <c r="C337" s="8" t="s">
        <v>475</v>
      </c>
      <c r="D337" s="9" t="s">
        <v>394</v>
      </c>
      <c r="E337" s="8" t="s">
        <v>56</v>
      </c>
      <c r="F337" s="10">
        <v>44180</v>
      </c>
      <c r="G337" s="8">
        <v>6</v>
      </c>
      <c r="H337" s="11" t="s">
        <v>18</v>
      </c>
      <c r="I337" s="11" t="s">
        <v>546</v>
      </c>
      <c r="J337" s="8">
        <v>6</v>
      </c>
      <c r="K337" s="8" t="s">
        <v>568</v>
      </c>
      <c r="L337" s="8">
        <v>9</v>
      </c>
      <c r="M337" s="13">
        <v>54</v>
      </c>
    </row>
    <row r="338" spans="1:13" x14ac:dyDescent="0.25">
      <c r="A338" s="7" t="s">
        <v>13</v>
      </c>
      <c r="B338" s="8" t="s">
        <v>14</v>
      </c>
      <c r="C338" s="8" t="s">
        <v>476</v>
      </c>
      <c r="D338" s="9" t="s">
        <v>477</v>
      </c>
      <c r="E338" s="8" t="s">
        <v>59</v>
      </c>
      <c r="F338" s="10">
        <v>44180</v>
      </c>
      <c r="G338" s="8">
        <v>7</v>
      </c>
      <c r="H338" s="11" t="s">
        <v>18</v>
      </c>
      <c r="I338" s="11" t="s">
        <v>546</v>
      </c>
      <c r="J338" s="8">
        <v>7</v>
      </c>
      <c r="K338" s="8" t="s">
        <v>552</v>
      </c>
      <c r="L338" s="8">
        <v>7</v>
      </c>
      <c r="M338" s="13">
        <v>49</v>
      </c>
    </row>
    <row r="339" spans="1:13" x14ac:dyDescent="0.25">
      <c r="A339" s="7" t="s">
        <v>13</v>
      </c>
      <c r="B339" s="8" t="s">
        <v>14</v>
      </c>
      <c r="C339" s="8" t="s">
        <v>478</v>
      </c>
      <c r="D339" s="9" t="s">
        <v>62</v>
      </c>
      <c r="E339" s="8" t="s">
        <v>59</v>
      </c>
      <c r="F339" s="10">
        <v>44180</v>
      </c>
      <c r="G339" s="8">
        <v>10</v>
      </c>
      <c r="H339" s="11" t="s">
        <v>18</v>
      </c>
      <c r="I339" s="11" t="s">
        <v>546</v>
      </c>
      <c r="J339" s="8">
        <v>10</v>
      </c>
      <c r="K339" s="8" t="s">
        <v>572</v>
      </c>
      <c r="L339" s="8">
        <v>3</v>
      </c>
      <c r="M339" s="13">
        <v>30</v>
      </c>
    </row>
    <row r="340" spans="1:13" x14ac:dyDescent="0.25">
      <c r="A340" s="7" t="s">
        <v>13</v>
      </c>
      <c r="B340" s="8" t="s">
        <v>14</v>
      </c>
      <c r="C340" s="8" t="s">
        <v>479</v>
      </c>
      <c r="D340" s="9" t="s">
        <v>55</v>
      </c>
      <c r="E340" s="8" t="s">
        <v>56</v>
      </c>
      <c r="F340" s="10">
        <v>44180</v>
      </c>
      <c r="G340" s="8">
        <v>7</v>
      </c>
      <c r="H340" s="11" t="s">
        <v>18</v>
      </c>
      <c r="I340" s="11" t="s">
        <v>546</v>
      </c>
      <c r="J340" s="8">
        <v>7</v>
      </c>
      <c r="K340" s="8" t="s">
        <v>571</v>
      </c>
      <c r="L340" s="8">
        <v>3</v>
      </c>
      <c r="M340" s="13">
        <v>21</v>
      </c>
    </row>
    <row r="341" spans="1:13" x14ac:dyDescent="0.25">
      <c r="A341" s="7" t="s">
        <v>13</v>
      </c>
      <c r="B341" s="8" t="s">
        <v>14</v>
      </c>
      <c r="C341" s="8" t="s">
        <v>479</v>
      </c>
      <c r="D341" s="9" t="s">
        <v>68</v>
      </c>
      <c r="E341" s="8" t="s">
        <v>59</v>
      </c>
      <c r="F341" s="10">
        <v>44180</v>
      </c>
      <c r="G341" s="8">
        <v>8</v>
      </c>
      <c r="H341" s="11" t="s">
        <v>18</v>
      </c>
      <c r="I341" s="11" t="s">
        <v>546</v>
      </c>
      <c r="J341" s="8">
        <v>8</v>
      </c>
      <c r="K341" s="8" t="s">
        <v>573</v>
      </c>
      <c r="L341" s="8">
        <v>3</v>
      </c>
      <c r="M341" s="13">
        <v>24</v>
      </c>
    </row>
    <row r="342" spans="1:13" x14ac:dyDescent="0.25">
      <c r="A342" s="7" t="s">
        <v>13</v>
      </c>
      <c r="B342" s="8" t="s">
        <v>14</v>
      </c>
      <c r="C342" s="8" t="s">
        <v>480</v>
      </c>
      <c r="D342" s="9" t="s">
        <v>68</v>
      </c>
      <c r="E342" s="8" t="s">
        <v>59</v>
      </c>
      <c r="F342" s="10">
        <v>44180</v>
      </c>
      <c r="G342" s="8">
        <v>8</v>
      </c>
      <c r="H342" s="11" t="s">
        <v>18</v>
      </c>
      <c r="I342" s="11" t="s">
        <v>546</v>
      </c>
      <c r="J342" s="8">
        <v>8</v>
      </c>
      <c r="K342" s="8" t="s">
        <v>550</v>
      </c>
      <c r="L342" s="8">
        <v>4</v>
      </c>
      <c r="M342" s="13">
        <v>32</v>
      </c>
    </row>
    <row r="343" spans="1:13" x14ac:dyDescent="0.25">
      <c r="A343" s="7" t="s">
        <v>13</v>
      </c>
      <c r="B343" s="8" t="s">
        <v>14</v>
      </c>
      <c r="C343" s="8" t="s">
        <v>480</v>
      </c>
      <c r="D343" s="9" t="s">
        <v>179</v>
      </c>
      <c r="E343" s="8" t="s">
        <v>17</v>
      </c>
      <c r="F343" s="10">
        <v>44180</v>
      </c>
      <c r="G343" s="8">
        <v>8</v>
      </c>
      <c r="H343" s="11" t="s">
        <v>18</v>
      </c>
      <c r="I343" s="11" t="s">
        <v>546</v>
      </c>
      <c r="J343" s="8">
        <v>8</v>
      </c>
      <c r="K343" s="8" t="s">
        <v>553</v>
      </c>
      <c r="L343" s="8">
        <v>4</v>
      </c>
      <c r="M343" s="13">
        <v>32</v>
      </c>
    </row>
    <row r="344" spans="1:13" x14ac:dyDescent="0.25">
      <c r="A344" s="7" t="s">
        <v>13</v>
      </c>
      <c r="B344" s="8" t="s">
        <v>19</v>
      </c>
      <c r="C344" s="8" t="s">
        <v>481</v>
      </c>
      <c r="D344" s="9" t="s">
        <v>243</v>
      </c>
      <c r="E344" s="8" t="s">
        <v>482</v>
      </c>
      <c r="F344" s="10">
        <v>44180</v>
      </c>
      <c r="G344" s="8">
        <v>2</v>
      </c>
      <c r="H344" s="11" t="s">
        <v>76</v>
      </c>
      <c r="I344" s="11" t="s">
        <v>546</v>
      </c>
      <c r="J344" s="8">
        <v>2</v>
      </c>
      <c r="K344" s="8" t="s">
        <v>549</v>
      </c>
      <c r="L344" s="8">
        <v>5</v>
      </c>
      <c r="M344" s="13">
        <v>30</v>
      </c>
    </row>
    <row r="345" spans="1:13" x14ac:dyDescent="0.25">
      <c r="A345" s="7" t="s">
        <v>13</v>
      </c>
      <c r="B345" s="8" t="s">
        <v>19</v>
      </c>
      <c r="C345" s="8" t="s">
        <v>481</v>
      </c>
      <c r="D345" s="9" t="s">
        <v>243</v>
      </c>
      <c r="E345" s="8" t="s">
        <v>368</v>
      </c>
      <c r="F345" s="10">
        <v>44180</v>
      </c>
      <c r="G345" s="8">
        <v>2</v>
      </c>
      <c r="H345" s="11" t="s">
        <v>76</v>
      </c>
      <c r="I345" s="11" t="s">
        <v>546</v>
      </c>
      <c r="J345" s="8">
        <v>2</v>
      </c>
      <c r="K345" s="8" t="s">
        <v>549</v>
      </c>
      <c r="L345" s="8">
        <v>5</v>
      </c>
      <c r="M345" s="13">
        <v>30</v>
      </c>
    </row>
    <row r="346" spans="1:13" x14ac:dyDescent="0.25">
      <c r="A346" s="7" t="s">
        <v>13</v>
      </c>
      <c r="B346" s="8" t="s">
        <v>46</v>
      </c>
      <c r="C346" s="8" t="s">
        <v>483</v>
      </c>
      <c r="D346" s="9" t="s">
        <v>484</v>
      </c>
      <c r="E346" s="8" t="s">
        <v>485</v>
      </c>
      <c r="F346" s="10">
        <v>44181</v>
      </c>
      <c r="G346" s="8">
        <v>6</v>
      </c>
      <c r="H346" s="11" t="s">
        <v>50</v>
      </c>
      <c r="I346" s="11" t="s">
        <v>546</v>
      </c>
      <c r="J346" s="8">
        <v>6</v>
      </c>
      <c r="K346" s="8" t="s">
        <v>568</v>
      </c>
      <c r="L346" s="8">
        <v>10</v>
      </c>
      <c r="M346" s="13">
        <v>60</v>
      </c>
    </row>
    <row r="347" spans="1:13" x14ac:dyDescent="0.25">
      <c r="A347" s="7" t="s">
        <v>13</v>
      </c>
      <c r="B347" s="8" t="s">
        <v>46</v>
      </c>
      <c r="C347" s="8" t="s">
        <v>486</v>
      </c>
      <c r="D347" s="9" t="s">
        <v>48</v>
      </c>
      <c r="E347" s="8" t="s">
        <v>115</v>
      </c>
      <c r="F347" s="10">
        <v>44181</v>
      </c>
      <c r="G347" s="8">
        <v>8</v>
      </c>
      <c r="H347" s="11" t="s">
        <v>50</v>
      </c>
      <c r="I347" s="11" t="s">
        <v>546</v>
      </c>
      <c r="J347" s="8">
        <v>8</v>
      </c>
      <c r="K347" s="8" t="s">
        <v>555</v>
      </c>
      <c r="L347" s="8">
        <v>2</v>
      </c>
      <c r="M347" s="13">
        <v>16</v>
      </c>
    </row>
    <row r="348" spans="1:13" x14ac:dyDescent="0.25">
      <c r="A348" s="7" t="s">
        <v>13</v>
      </c>
      <c r="B348" s="8" t="s">
        <v>24</v>
      </c>
      <c r="C348" s="8" t="s">
        <v>487</v>
      </c>
      <c r="D348" s="9" t="s">
        <v>38</v>
      </c>
      <c r="E348" s="8" t="s">
        <v>53</v>
      </c>
      <c r="F348" s="10">
        <v>44168</v>
      </c>
      <c r="G348" s="8">
        <v>12</v>
      </c>
      <c r="H348" s="11" t="s">
        <v>28</v>
      </c>
      <c r="I348" s="11" t="s">
        <v>546</v>
      </c>
      <c r="J348" s="8">
        <v>10</v>
      </c>
      <c r="K348" s="8" t="s">
        <v>549</v>
      </c>
      <c r="L348" s="8">
        <v>4</v>
      </c>
      <c r="M348" s="13">
        <v>40</v>
      </c>
    </row>
    <row r="349" spans="1:13" x14ac:dyDescent="0.25">
      <c r="A349" s="7" t="s">
        <v>13</v>
      </c>
      <c r="B349" s="8" t="s">
        <v>46</v>
      </c>
      <c r="C349" s="8" t="s">
        <v>488</v>
      </c>
      <c r="D349" s="9" t="s">
        <v>48</v>
      </c>
      <c r="E349" s="8" t="s">
        <v>49</v>
      </c>
      <c r="F349" s="10">
        <v>44174</v>
      </c>
      <c r="G349" s="8">
        <v>8</v>
      </c>
      <c r="H349" s="11" t="s">
        <v>50</v>
      </c>
      <c r="I349" s="11" t="s">
        <v>546</v>
      </c>
      <c r="J349" s="8">
        <v>8</v>
      </c>
      <c r="K349" s="8" t="s">
        <v>569</v>
      </c>
      <c r="L349" s="8">
        <v>3.5</v>
      </c>
      <c r="M349" s="13">
        <v>28</v>
      </c>
    </row>
    <row r="350" spans="1:13" x14ac:dyDescent="0.25">
      <c r="A350" s="7" t="s">
        <v>13</v>
      </c>
      <c r="B350" s="8" t="s">
        <v>46</v>
      </c>
      <c r="C350" s="8" t="s">
        <v>489</v>
      </c>
      <c r="D350" s="9" t="s">
        <v>48</v>
      </c>
      <c r="E350" s="8" t="s">
        <v>115</v>
      </c>
      <c r="F350" s="10">
        <v>44174</v>
      </c>
      <c r="G350" s="8">
        <v>8</v>
      </c>
      <c r="H350" s="11" t="s">
        <v>50</v>
      </c>
      <c r="I350" s="11" t="s">
        <v>546</v>
      </c>
      <c r="J350" s="8">
        <v>8</v>
      </c>
      <c r="K350" s="8" t="s">
        <v>548</v>
      </c>
      <c r="L350" s="8">
        <v>2.5</v>
      </c>
      <c r="M350" s="13">
        <v>20</v>
      </c>
    </row>
    <row r="351" spans="1:13" x14ac:dyDescent="0.25">
      <c r="A351" s="7" t="s">
        <v>13</v>
      </c>
      <c r="B351" s="8" t="s">
        <v>14</v>
      </c>
      <c r="C351" s="8" t="s">
        <v>319</v>
      </c>
      <c r="D351" s="9" t="s">
        <v>490</v>
      </c>
      <c r="E351" s="8" t="s">
        <v>491</v>
      </c>
      <c r="F351" s="10">
        <v>44174</v>
      </c>
      <c r="G351" s="8">
        <v>1</v>
      </c>
      <c r="H351" s="11" t="s">
        <v>18</v>
      </c>
      <c r="I351" s="11" t="s">
        <v>546</v>
      </c>
      <c r="J351" s="8">
        <v>1</v>
      </c>
      <c r="K351" s="8" t="s">
        <v>568</v>
      </c>
      <c r="L351" s="8">
        <v>7</v>
      </c>
      <c r="M351" s="13">
        <v>21</v>
      </c>
    </row>
    <row r="352" spans="1:13" x14ac:dyDescent="0.25">
      <c r="A352" s="7" t="s">
        <v>13</v>
      </c>
      <c r="B352" s="8" t="s">
        <v>14</v>
      </c>
      <c r="C352" s="8" t="s">
        <v>319</v>
      </c>
      <c r="D352" s="9" t="s">
        <v>492</v>
      </c>
      <c r="E352" s="8" t="s">
        <v>281</v>
      </c>
      <c r="F352" s="10">
        <v>44174</v>
      </c>
      <c r="G352" s="8">
        <v>1</v>
      </c>
      <c r="H352" s="11" t="s">
        <v>18</v>
      </c>
      <c r="I352" s="11" t="s">
        <v>546</v>
      </c>
      <c r="J352" s="8">
        <v>1</v>
      </c>
      <c r="K352" s="8" t="s">
        <v>557</v>
      </c>
      <c r="L352" s="8">
        <v>7</v>
      </c>
      <c r="M352" s="13">
        <v>21</v>
      </c>
    </row>
    <row r="353" spans="1:13" x14ac:dyDescent="0.25">
      <c r="A353" s="7" t="s">
        <v>13</v>
      </c>
      <c r="B353" s="8" t="s">
        <v>46</v>
      </c>
      <c r="C353" s="8" t="s">
        <v>493</v>
      </c>
      <c r="D353" s="9" t="s">
        <v>48</v>
      </c>
      <c r="E353" s="8" t="s">
        <v>304</v>
      </c>
      <c r="F353" s="10">
        <v>44173</v>
      </c>
      <c r="G353" s="8">
        <v>8</v>
      </c>
      <c r="H353" s="11" t="s">
        <v>50</v>
      </c>
      <c r="I353" s="11" t="s">
        <v>546</v>
      </c>
      <c r="J353" s="8">
        <v>8</v>
      </c>
      <c r="K353" s="8" t="s">
        <v>554</v>
      </c>
      <c r="L353" s="8">
        <v>3</v>
      </c>
      <c r="M353" s="13">
        <v>24</v>
      </c>
    </row>
    <row r="354" spans="1:13" x14ac:dyDescent="0.25">
      <c r="A354" s="7" t="s">
        <v>13</v>
      </c>
      <c r="B354" s="8" t="s">
        <v>46</v>
      </c>
      <c r="C354" s="8" t="s">
        <v>494</v>
      </c>
      <c r="D354" s="9" t="s">
        <v>445</v>
      </c>
      <c r="E354" s="8" t="s">
        <v>145</v>
      </c>
      <c r="F354" s="10">
        <v>44169</v>
      </c>
      <c r="G354" s="8">
        <v>6</v>
      </c>
      <c r="H354" s="11" t="s">
        <v>50</v>
      </c>
      <c r="I354" s="11" t="s">
        <v>546</v>
      </c>
      <c r="J354" s="8">
        <v>6</v>
      </c>
      <c r="K354" s="8" t="s">
        <v>551</v>
      </c>
      <c r="L354" s="8">
        <v>3</v>
      </c>
      <c r="M354" s="13">
        <v>18</v>
      </c>
    </row>
    <row r="355" spans="1:13" x14ac:dyDescent="0.25">
      <c r="A355" s="7" t="s">
        <v>13</v>
      </c>
      <c r="B355" s="8" t="s">
        <v>14</v>
      </c>
      <c r="C355" s="8" t="s">
        <v>319</v>
      </c>
      <c r="D355" s="9" t="s">
        <v>495</v>
      </c>
      <c r="E355" s="8" t="s">
        <v>161</v>
      </c>
      <c r="F355" s="10">
        <v>44168</v>
      </c>
      <c r="G355" s="8">
        <v>3</v>
      </c>
      <c r="H355" s="11" t="s">
        <v>18</v>
      </c>
      <c r="I355" s="11" t="s">
        <v>546</v>
      </c>
      <c r="J355" s="8">
        <v>3</v>
      </c>
      <c r="K355" s="8" t="s">
        <v>568</v>
      </c>
      <c r="L355" s="8">
        <v>7</v>
      </c>
      <c r="M355" s="13">
        <v>63</v>
      </c>
    </row>
    <row r="356" spans="1:13" x14ac:dyDescent="0.25">
      <c r="A356" s="7" t="s">
        <v>13</v>
      </c>
      <c r="B356" s="8" t="s">
        <v>46</v>
      </c>
      <c r="C356" s="8" t="s">
        <v>496</v>
      </c>
      <c r="D356" s="9" t="s">
        <v>497</v>
      </c>
      <c r="E356" s="8" t="s">
        <v>491</v>
      </c>
      <c r="F356" s="10">
        <v>44168</v>
      </c>
      <c r="G356" s="8">
        <v>7</v>
      </c>
      <c r="H356" s="11" t="s">
        <v>50</v>
      </c>
      <c r="I356" s="11" t="s">
        <v>546</v>
      </c>
      <c r="J356" s="8">
        <v>7</v>
      </c>
      <c r="K356" s="8" t="s">
        <v>562</v>
      </c>
      <c r="L356" s="8">
        <v>3.2</v>
      </c>
      <c r="M356" s="13">
        <v>22.400000000000002</v>
      </c>
    </row>
    <row r="357" spans="1:13" x14ac:dyDescent="0.25">
      <c r="A357" s="7" t="s">
        <v>13</v>
      </c>
      <c r="B357" s="8" t="s">
        <v>24</v>
      </c>
      <c r="C357" s="8" t="s">
        <v>498</v>
      </c>
      <c r="D357" s="9" t="s">
        <v>26</v>
      </c>
      <c r="E357" s="8" t="s">
        <v>316</v>
      </c>
      <c r="F357" s="10">
        <v>44174</v>
      </c>
      <c r="G357" s="8">
        <v>7</v>
      </c>
      <c r="H357" s="11" t="s">
        <v>28</v>
      </c>
      <c r="I357" s="11" t="s">
        <v>546</v>
      </c>
      <c r="J357" s="8">
        <v>7</v>
      </c>
      <c r="K357" s="8" t="s">
        <v>557</v>
      </c>
      <c r="L357" s="8">
        <v>6</v>
      </c>
      <c r="M357" s="13">
        <v>42</v>
      </c>
    </row>
    <row r="358" spans="1:13" x14ac:dyDescent="0.25">
      <c r="A358" s="7" t="s">
        <v>13</v>
      </c>
      <c r="B358" s="8" t="s">
        <v>14</v>
      </c>
      <c r="C358" s="8" t="s">
        <v>499</v>
      </c>
      <c r="D358" s="9" t="s">
        <v>500</v>
      </c>
      <c r="E358" s="8" t="s">
        <v>49</v>
      </c>
      <c r="F358" s="10">
        <v>44172</v>
      </c>
      <c r="G358" s="8">
        <v>4</v>
      </c>
      <c r="H358" s="11" t="s">
        <v>18</v>
      </c>
      <c r="I358" s="11" t="s">
        <v>546</v>
      </c>
      <c r="J358" s="8">
        <v>4</v>
      </c>
      <c r="K358" s="8" t="s">
        <v>560</v>
      </c>
      <c r="L358" s="8">
        <v>3</v>
      </c>
      <c r="M358" s="13">
        <v>12</v>
      </c>
    </row>
    <row r="359" spans="1:13" x14ac:dyDescent="0.25">
      <c r="A359" s="7" t="s">
        <v>13</v>
      </c>
      <c r="B359" s="8" t="s">
        <v>14</v>
      </c>
      <c r="C359" s="8" t="s">
        <v>501</v>
      </c>
      <c r="D359" s="9" t="s">
        <v>294</v>
      </c>
      <c r="E359" s="8" t="s">
        <v>125</v>
      </c>
      <c r="F359" s="10">
        <v>44176</v>
      </c>
      <c r="G359" s="8">
        <v>10</v>
      </c>
      <c r="H359" s="11" t="s">
        <v>18</v>
      </c>
      <c r="I359" s="11" t="s">
        <v>546</v>
      </c>
      <c r="J359" s="8">
        <v>10</v>
      </c>
      <c r="K359" s="8" t="s">
        <v>572</v>
      </c>
      <c r="L359" s="8">
        <v>5</v>
      </c>
      <c r="M359" s="13">
        <v>50</v>
      </c>
    </row>
    <row r="360" spans="1:13" x14ac:dyDescent="0.25">
      <c r="A360" s="7" t="s">
        <v>13</v>
      </c>
      <c r="B360" s="8" t="s">
        <v>14</v>
      </c>
      <c r="C360" s="8" t="s">
        <v>502</v>
      </c>
      <c r="D360" s="9" t="s">
        <v>122</v>
      </c>
      <c r="E360" s="8" t="s">
        <v>59</v>
      </c>
      <c r="F360" s="10">
        <v>44176</v>
      </c>
      <c r="G360" s="8">
        <v>9</v>
      </c>
      <c r="H360" s="11" t="s">
        <v>18</v>
      </c>
      <c r="I360" s="11" t="s">
        <v>546</v>
      </c>
      <c r="J360" s="8">
        <v>9</v>
      </c>
      <c r="K360" s="8" t="s">
        <v>552</v>
      </c>
      <c r="L360" s="8">
        <v>6</v>
      </c>
      <c r="M360" s="13">
        <v>54</v>
      </c>
    </row>
    <row r="361" spans="1:13" x14ac:dyDescent="0.25">
      <c r="A361" s="7" t="s">
        <v>13</v>
      </c>
      <c r="B361" s="8" t="s">
        <v>46</v>
      </c>
      <c r="C361" s="8" t="s">
        <v>503</v>
      </c>
      <c r="D361" s="9" t="s">
        <v>175</v>
      </c>
      <c r="E361" s="8" t="s">
        <v>161</v>
      </c>
      <c r="F361" s="10">
        <v>44179</v>
      </c>
      <c r="G361" s="8">
        <v>7</v>
      </c>
      <c r="H361" s="11" t="s">
        <v>50</v>
      </c>
      <c r="I361" s="11" t="s">
        <v>546</v>
      </c>
      <c r="J361" s="8">
        <v>7</v>
      </c>
      <c r="K361" s="8" t="s">
        <v>572</v>
      </c>
      <c r="L361" s="8">
        <v>5</v>
      </c>
      <c r="M361" s="13">
        <v>35</v>
      </c>
    </row>
    <row r="362" spans="1:13" x14ac:dyDescent="0.25">
      <c r="A362" s="7" t="s">
        <v>13</v>
      </c>
      <c r="B362" s="8" t="s">
        <v>19</v>
      </c>
      <c r="C362" s="8" t="s">
        <v>504</v>
      </c>
      <c r="D362" s="9" t="s">
        <v>505</v>
      </c>
      <c r="E362" s="8" t="s">
        <v>44</v>
      </c>
      <c r="F362" s="10">
        <v>44172</v>
      </c>
      <c r="G362" s="8">
        <v>9</v>
      </c>
      <c r="H362" s="11" t="s">
        <v>23</v>
      </c>
      <c r="I362" s="11" t="s">
        <v>546</v>
      </c>
      <c r="J362" s="8">
        <v>9</v>
      </c>
      <c r="K362" s="8" t="s">
        <v>572</v>
      </c>
      <c r="L362" s="8">
        <v>4</v>
      </c>
      <c r="M362" s="13">
        <v>36</v>
      </c>
    </row>
    <row r="363" spans="1:13" x14ac:dyDescent="0.25">
      <c r="A363" s="7" t="s">
        <v>13</v>
      </c>
      <c r="B363" s="8" t="s">
        <v>14</v>
      </c>
      <c r="C363" s="8" t="s">
        <v>506</v>
      </c>
      <c r="D363" s="9" t="s">
        <v>507</v>
      </c>
      <c r="E363" s="8" t="s">
        <v>49</v>
      </c>
      <c r="F363" s="10">
        <v>44161</v>
      </c>
      <c r="G363" s="8">
        <v>11</v>
      </c>
      <c r="H363" s="11" t="s">
        <v>18</v>
      </c>
      <c r="I363" s="11" t="s">
        <v>546</v>
      </c>
      <c r="J363" s="8">
        <v>11</v>
      </c>
      <c r="K363" s="8" t="s">
        <v>558</v>
      </c>
      <c r="L363" s="8">
        <v>3</v>
      </c>
      <c r="M363" s="13">
        <v>33</v>
      </c>
    </row>
    <row r="364" spans="1:13" x14ac:dyDescent="0.25">
      <c r="A364" s="7" t="s">
        <v>13</v>
      </c>
      <c r="B364" s="8" t="s">
        <v>19</v>
      </c>
      <c r="C364" s="8" t="s">
        <v>230</v>
      </c>
      <c r="D364" s="9" t="s">
        <v>182</v>
      </c>
      <c r="E364" s="8" t="s">
        <v>67</v>
      </c>
      <c r="F364" s="10">
        <v>44161</v>
      </c>
      <c r="G364" s="8">
        <v>1</v>
      </c>
      <c r="H364" s="11" t="s">
        <v>76</v>
      </c>
      <c r="I364" s="11" t="s">
        <v>546</v>
      </c>
      <c r="J364" s="8">
        <v>1</v>
      </c>
      <c r="K364" s="8" t="s">
        <v>557</v>
      </c>
      <c r="L364" s="8">
        <v>4</v>
      </c>
      <c r="M364" s="13">
        <v>12</v>
      </c>
    </row>
    <row r="365" spans="1:13" x14ac:dyDescent="0.25">
      <c r="A365" s="7" t="s">
        <v>13</v>
      </c>
      <c r="B365" s="8" t="s">
        <v>14</v>
      </c>
      <c r="C365" s="8" t="s">
        <v>508</v>
      </c>
      <c r="D365" s="9" t="s">
        <v>509</v>
      </c>
      <c r="E365" s="8" t="s">
        <v>125</v>
      </c>
      <c r="F365" s="10">
        <v>44162</v>
      </c>
      <c r="G365" s="8">
        <v>6</v>
      </c>
      <c r="H365" s="11" t="s">
        <v>18</v>
      </c>
      <c r="I365" s="11" t="s">
        <v>546</v>
      </c>
      <c r="J365" s="8">
        <v>6</v>
      </c>
      <c r="K365" s="8" t="s">
        <v>556</v>
      </c>
      <c r="L365" s="8">
        <v>4</v>
      </c>
      <c r="M365" s="13">
        <v>24</v>
      </c>
    </row>
    <row r="366" spans="1:13" x14ac:dyDescent="0.25">
      <c r="A366" s="7" t="s">
        <v>13</v>
      </c>
      <c r="B366" s="8" t="s">
        <v>46</v>
      </c>
      <c r="C366" s="8" t="s">
        <v>510</v>
      </c>
      <c r="D366" s="9" t="s">
        <v>48</v>
      </c>
      <c r="E366" s="8" t="s">
        <v>281</v>
      </c>
      <c r="F366" s="10">
        <v>44166</v>
      </c>
      <c r="G366" s="8">
        <v>8</v>
      </c>
      <c r="H366" s="11" t="s">
        <v>50</v>
      </c>
      <c r="I366" s="11" t="s">
        <v>546</v>
      </c>
      <c r="J366" s="8">
        <v>8</v>
      </c>
      <c r="K366" s="8" t="s">
        <v>564</v>
      </c>
      <c r="L366" s="8">
        <v>12</v>
      </c>
      <c r="M366" s="13">
        <v>96</v>
      </c>
    </row>
    <row r="367" spans="1:13" x14ac:dyDescent="0.25">
      <c r="A367" s="7" t="s">
        <v>13</v>
      </c>
      <c r="B367" s="8" t="s">
        <v>14</v>
      </c>
      <c r="C367" s="8" t="s">
        <v>506</v>
      </c>
      <c r="D367" s="9" t="s">
        <v>511</v>
      </c>
      <c r="E367" s="8" t="s">
        <v>59</v>
      </c>
      <c r="F367" s="10">
        <v>44166</v>
      </c>
      <c r="G367" s="8">
        <v>5</v>
      </c>
      <c r="H367" s="11" t="s">
        <v>18</v>
      </c>
      <c r="I367" s="11" t="s">
        <v>546</v>
      </c>
      <c r="J367" s="8">
        <v>5</v>
      </c>
      <c r="K367" s="8" t="s">
        <v>563</v>
      </c>
      <c r="L367" s="8">
        <v>3</v>
      </c>
      <c r="M367" s="13">
        <v>15</v>
      </c>
    </row>
    <row r="368" spans="1:13" x14ac:dyDescent="0.25">
      <c r="A368" s="7" t="s">
        <v>13</v>
      </c>
      <c r="B368" s="8" t="s">
        <v>24</v>
      </c>
      <c r="C368" s="8" t="s">
        <v>512</v>
      </c>
      <c r="D368" s="9" t="s">
        <v>513</v>
      </c>
      <c r="E368" s="8" t="s">
        <v>514</v>
      </c>
      <c r="F368" s="10">
        <v>44168</v>
      </c>
      <c r="G368" s="8">
        <v>1</v>
      </c>
      <c r="H368" s="11" t="s">
        <v>277</v>
      </c>
      <c r="I368" s="11" t="s">
        <v>546</v>
      </c>
      <c r="J368" s="8">
        <v>1</v>
      </c>
      <c r="K368" s="8" t="s">
        <v>572</v>
      </c>
      <c r="L368" s="8">
        <v>5</v>
      </c>
      <c r="M368" s="13">
        <v>15</v>
      </c>
    </row>
    <row r="369" spans="1:13" x14ac:dyDescent="0.25">
      <c r="A369" s="7" t="s">
        <v>13</v>
      </c>
      <c r="B369" s="8" t="s">
        <v>24</v>
      </c>
      <c r="C369" s="8" t="s">
        <v>512</v>
      </c>
      <c r="D369" s="9" t="s">
        <v>515</v>
      </c>
      <c r="E369" s="8" t="s">
        <v>516</v>
      </c>
      <c r="F369" s="10">
        <v>44168</v>
      </c>
      <c r="G369" s="8">
        <v>2</v>
      </c>
      <c r="H369" s="11" t="s">
        <v>277</v>
      </c>
      <c r="I369" s="11" t="s">
        <v>546</v>
      </c>
      <c r="J369" s="8">
        <v>2</v>
      </c>
      <c r="K369" s="8" t="s">
        <v>572</v>
      </c>
      <c r="L369" s="8">
        <v>5</v>
      </c>
      <c r="M369" s="13">
        <v>30</v>
      </c>
    </row>
    <row r="370" spans="1:13" x14ac:dyDescent="0.25">
      <c r="A370" s="7" t="s">
        <v>13</v>
      </c>
      <c r="B370" s="8" t="s">
        <v>14</v>
      </c>
      <c r="C370" s="8" t="s">
        <v>476</v>
      </c>
      <c r="D370" s="9" t="s">
        <v>517</v>
      </c>
      <c r="E370" s="8" t="s">
        <v>49</v>
      </c>
      <c r="F370" s="10">
        <v>44147</v>
      </c>
      <c r="G370" s="8">
        <v>3</v>
      </c>
      <c r="H370" s="11" t="s">
        <v>18</v>
      </c>
      <c r="I370" s="11" t="s">
        <v>546</v>
      </c>
      <c r="J370" s="8">
        <v>2</v>
      </c>
      <c r="K370" s="8" t="s">
        <v>558</v>
      </c>
      <c r="L370" s="8">
        <v>7</v>
      </c>
      <c r="M370" s="13">
        <v>42</v>
      </c>
    </row>
    <row r="371" spans="1:13" x14ac:dyDescent="0.25">
      <c r="A371" s="7" t="s">
        <v>13</v>
      </c>
      <c r="B371" s="8" t="s">
        <v>14</v>
      </c>
      <c r="C371" s="8" t="s">
        <v>214</v>
      </c>
      <c r="D371" s="9" t="s">
        <v>333</v>
      </c>
      <c r="E371" s="8" t="s">
        <v>49</v>
      </c>
      <c r="F371" s="10">
        <v>44151</v>
      </c>
      <c r="G371" s="8">
        <v>2</v>
      </c>
      <c r="H371" s="11" t="s">
        <v>18</v>
      </c>
      <c r="I371" s="11" t="s">
        <v>546</v>
      </c>
      <c r="J371" s="8">
        <v>2</v>
      </c>
      <c r="K371" s="8" t="s">
        <v>560</v>
      </c>
      <c r="L371" s="8">
        <v>8</v>
      </c>
      <c r="M371" s="13">
        <v>48</v>
      </c>
    </row>
    <row r="372" spans="1:13" x14ac:dyDescent="0.25">
      <c r="A372" s="7" t="s">
        <v>13</v>
      </c>
      <c r="B372" s="8" t="s">
        <v>24</v>
      </c>
      <c r="C372" s="8" t="s">
        <v>518</v>
      </c>
      <c r="D372" s="9" t="s">
        <v>519</v>
      </c>
      <c r="E372" s="8" t="s">
        <v>53</v>
      </c>
      <c r="F372" s="10">
        <v>44151</v>
      </c>
      <c r="G372" s="8">
        <v>6</v>
      </c>
      <c r="H372" s="11" t="s">
        <v>28</v>
      </c>
      <c r="I372" s="11" t="s">
        <v>546</v>
      </c>
      <c r="J372" s="8">
        <v>6</v>
      </c>
      <c r="K372" s="8" t="s">
        <v>558</v>
      </c>
      <c r="L372" s="8">
        <v>3</v>
      </c>
      <c r="M372" s="13">
        <v>18</v>
      </c>
    </row>
    <row r="373" spans="1:13" x14ac:dyDescent="0.25">
      <c r="A373" s="7" t="s">
        <v>13</v>
      </c>
      <c r="B373" s="8" t="s">
        <v>24</v>
      </c>
      <c r="C373" s="8" t="s">
        <v>520</v>
      </c>
      <c r="D373" s="9" t="s">
        <v>519</v>
      </c>
      <c r="E373" s="8" t="s">
        <v>53</v>
      </c>
      <c r="F373" s="10">
        <v>44152</v>
      </c>
      <c r="G373" s="8">
        <v>6</v>
      </c>
      <c r="H373" s="11" t="s">
        <v>28</v>
      </c>
      <c r="I373" s="11" t="s">
        <v>546</v>
      </c>
      <c r="J373" s="8">
        <v>6</v>
      </c>
      <c r="K373" s="8" t="s">
        <v>569</v>
      </c>
      <c r="L373" s="8">
        <v>4</v>
      </c>
      <c r="M373" s="13">
        <v>24</v>
      </c>
    </row>
    <row r="374" spans="1:13" x14ac:dyDescent="0.25">
      <c r="A374" s="7" t="s">
        <v>13</v>
      </c>
      <c r="B374" s="8" t="s">
        <v>24</v>
      </c>
      <c r="C374" s="8" t="s">
        <v>520</v>
      </c>
      <c r="D374" s="9" t="s">
        <v>521</v>
      </c>
      <c r="E374" s="8" t="s">
        <v>39</v>
      </c>
      <c r="F374" s="10">
        <v>44152</v>
      </c>
      <c r="G374" s="8">
        <v>6</v>
      </c>
      <c r="H374" s="11" t="s">
        <v>28</v>
      </c>
      <c r="I374" s="11" t="s">
        <v>546</v>
      </c>
      <c r="J374" s="8">
        <v>6</v>
      </c>
      <c r="K374" s="8" t="s">
        <v>567</v>
      </c>
      <c r="L374" s="8">
        <v>4</v>
      </c>
      <c r="M374" s="13">
        <v>24</v>
      </c>
    </row>
    <row r="375" spans="1:13" x14ac:dyDescent="0.25">
      <c r="A375" s="7" t="s">
        <v>13</v>
      </c>
      <c r="B375" s="8" t="s">
        <v>19</v>
      </c>
      <c r="C375" s="8" t="s">
        <v>522</v>
      </c>
      <c r="D375" s="9" t="s">
        <v>243</v>
      </c>
      <c r="E375" s="8" t="s">
        <v>523</v>
      </c>
      <c r="F375" s="10">
        <v>44134</v>
      </c>
      <c r="G375" s="8">
        <v>6</v>
      </c>
      <c r="H375" s="11" t="s">
        <v>76</v>
      </c>
      <c r="I375" s="11" t="s">
        <v>546</v>
      </c>
      <c r="J375" s="8">
        <v>6</v>
      </c>
      <c r="K375" s="8" t="s">
        <v>572</v>
      </c>
      <c r="L375" s="8">
        <v>5</v>
      </c>
      <c r="M375" s="13">
        <v>30</v>
      </c>
    </row>
    <row r="376" spans="1:13" x14ac:dyDescent="0.25">
      <c r="A376" s="7" t="s">
        <v>13</v>
      </c>
      <c r="B376" s="8" t="s">
        <v>14</v>
      </c>
      <c r="C376" s="8" t="s">
        <v>65</v>
      </c>
      <c r="D376" s="9" t="s">
        <v>524</v>
      </c>
      <c r="E376" s="8" t="s">
        <v>125</v>
      </c>
      <c r="F376" s="10">
        <v>44154</v>
      </c>
      <c r="G376" s="8">
        <v>1</v>
      </c>
      <c r="H376" s="11" t="s">
        <v>18</v>
      </c>
      <c r="I376" s="11" t="s">
        <v>546</v>
      </c>
      <c r="J376" s="8">
        <v>1</v>
      </c>
      <c r="K376" s="8" t="s">
        <v>551</v>
      </c>
      <c r="L376" s="8">
        <v>4</v>
      </c>
      <c r="M376" s="13">
        <v>12</v>
      </c>
    </row>
    <row r="377" spans="1:13" x14ac:dyDescent="0.25">
      <c r="A377" s="7" t="s">
        <v>13</v>
      </c>
      <c r="B377" s="8" t="s">
        <v>14</v>
      </c>
      <c r="C377" s="8" t="s">
        <v>65</v>
      </c>
      <c r="D377" s="9" t="s">
        <v>124</v>
      </c>
      <c r="E377" s="8" t="s">
        <v>56</v>
      </c>
      <c r="F377" s="10">
        <v>44154</v>
      </c>
      <c r="G377" s="8">
        <v>2</v>
      </c>
      <c r="H377" s="11" t="s">
        <v>18</v>
      </c>
      <c r="I377" s="11" t="s">
        <v>546</v>
      </c>
      <c r="J377" s="8">
        <v>2</v>
      </c>
      <c r="K377" s="8" t="s">
        <v>561</v>
      </c>
      <c r="L377" s="8">
        <v>4</v>
      </c>
      <c r="M377" s="13">
        <v>24</v>
      </c>
    </row>
    <row r="378" spans="1:13" x14ac:dyDescent="0.25">
      <c r="A378" s="7" t="s">
        <v>13</v>
      </c>
      <c r="B378" s="8" t="s">
        <v>14</v>
      </c>
      <c r="C378" s="8" t="s">
        <v>525</v>
      </c>
      <c r="D378" s="9" t="s">
        <v>335</v>
      </c>
      <c r="E378" s="8" t="s">
        <v>59</v>
      </c>
      <c r="F378" s="10">
        <v>44147</v>
      </c>
      <c r="G378" s="8">
        <v>3</v>
      </c>
      <c r="H378" s="11" t="s">
        <v>18</v>
      </c>
      <c r="I378" s="11" t="s">
        <v>546</v>
      </c>
      <c r="J378" s="8">
        <v>3</v>
      </c>
      <c r="K378" s="8" t="s">
        <v>557</v>
      </c>
      <c r="L378" s="8">
        <v>4</v>
      </c>
      <c r="M378" s="13">
        <v>36</v>
      </c>
    </row>
    <row r="379" spans="1:13" x14ac:dyDescent="0.25">
      <c r="A379" s="7" t="s">
        <v>13</v>
      </c>
      <c r="B379" s="8" t="s">
        <v>14</v>
      </c>
      <c r="C379" s="8" t="s">
        <v>525</v>
      </c>
      <c r="D379" s="9" t="s">
        <v>241</v>
      </c>
      <c r="E379" s="8" t="s">
        <v>17</v>
      </c>
      <c r="F379" s="10">
        <v>44147</v>
      </c>
      <c r="G379" s="8">
        <v>1</v>
      </c>
      <c r="H379" s="11" t="s">
        <v>18</v>
      </c>
      <c r="I379" s="11" t="s">
        <v>546</v>
      </c>
      <c r="J379" s="8">
        <v>1</v>
      </c>
      <c r="K379" s="8" t="s">
        <v>563</v>
      </c>
      <c r="L379" s="8">
        <v>4</v>
      </c>
      <c r="M379" s="13">
        <v>12</v>
      </c>
    </row>
    <row r="380" spans="1:13" x14ac:dyDescent="0.25">
      <c r="A380" s="7" t="s">
        <v>13</v>
      </c>
      <c r="B380" s="8" t="s">
        <v>19</v>
      </c>
      <c r="C380" s="8" t="s">
        <v>230</v>
      </c>
      <c r="D380" s="9" t="s">
        <v>243</v>
      </c>
      <c r="E380" s="8" t="s">
        <v>246</v>
      </c>
      <c r="F380" s="10">
        <v>44127</v>
      </c>
      <c r="G380" s="8">
        <v>2</v>
      </c>
      <c r="H380" s="11" t="s">
        <v>76</v>
      </c>
      <c r="I380" s="11" t="s">
        <v>546</v>
      </c>
      <c r="J380" s="8">
        <v>2</v>
      </c>
      <c r="K380" s="8" t="s">
        <v>552</v>
      </c>
      <c r="L380" s="8">
        <v>4</v>
      </c>
      <c r="M380" s="13">
        <v>24</v>
      </c>
    </row>
    <row r="381" spans="1:13" x14ac:dyDescent="0.25">
      <c r="A381" s="7" t="s">
        <v>13</v>
      </c>
      <c r="B381" s="8" t="s">
        <v>24</v>
      </c>
      <c r="C381" s="8" t="s">
        <v>526</v>
      </c>
      <c r="D381" s="9" t="s">
        <v>38</v>
      </c>
      <c r="E381" s="8" t="s">
        <v>39</v>
      </c>
      <c r="F381" s="10">
        <v>44131</v>
      </c>
      <c r="G381" s="8">
        <v>12</v>
      </c>
      <c r="H381" s="11" t="s">
        <v>28</v>
      </c>
      <c r="I381" s="11" t="s">
        <v>546</v>
      </c>
      <c r="J381" s="8">
        <v>11</v>
      </c>
      <c r="K381" s="8" t="s">
        <v>547</v>
      </c>
      <c r="L381" s="8">
        <v>3</v>
      </c>
      <c r="M381" s="13">
        <v>33</v>
      </c>
    </row>
    <row r="382" spans="1:13" x14ac:dyDescent="0.25">
      <c r="A382" s="7" t="s">
        <v>13</v>
      </c>
      <c r="B382" s="8" t="s">
        <v>14</v>
      </c>
      <c r="C382" s="8" t="s">
        <v>527</v>
      </c>
      <c r="D382" s="9" t="s">
        <v>287</v>
      </c>
      <c r="E382" s="8" t="s">
        <v>59</v>
      </c>
      <c r="F382" s="10">
        <v>44117</v>
      </c>
      <c r="G382" s="8">
        <v>11</v>
      </c>
      <c r="H382" s="11" t="s">
        <v>18</v>
      </c>
      <c r="I382" s="11" t="s">
        <v>546</v>
      </c>
      <c r="J382" s="8">
        <v>10</v>
      </c>
      <c r="K382" s="8" t="s">
        <v>569</v>
      </c>
      <c r="L382" s="8">
        <v>3</v>
      </c>
      <c r="M382" s="13">
        <v>30</v>
      </c>
    </row>
    <row r="383" spans="1:13" x14ac:dyDescent="0.25">
      <c r="A383" s="7" t="s">
        <v>13</v>
      </c>
      <c r="B383" s="8" t="s">
        <v>14</v>
      </c>
      <c r="C383" s="8" t="s">
        <v>527</v>
      </c>
      <c r="D383" s="9" t="s">
        <v>300</v>
      </c>
      <c r="E383" s="8" t="s">
        <v>17</v>
      </c>
      <c r="F383" s="10">
        <v>44117</v>
      </c>
      <c r="G383" s="8">
        <v>11</v>
      </c>
      <c r="H383" s="11" t="s">
        <v>18</v>
      </c>
      <c r="I383" s="11" t="s">
        <v>546</v>
      </c>
      <c r="J383" s="8">
        <v>11</v>
      </c>
      <c r="K383" s="8" t="s">
        <v>572</v>
      </c>
      <c r="L383" s="8">
        <v>3</v>
      </c>
      <c r="M383" s="13">
        <v>33</v>
      </c>
    </row>
    <row r="384" spans="1:13" x14ac:dyDescent="0.25">
      <c r="A384" s="7" t="s">
        <v>13</v>
      </c>
      <c r="B384" s="8" t="s">
        <v>14</v>
      </c>
      <c r="C384" s="8" t="s">
        <v>347</v>
      </c>
      <c r="D384" s="9" t="s">
        <v>528</v>
      </c>
      <c r="E384" s="8" t="s">
        <v>17</v>
      </c>
      <c r="F384" s="10">
        <v>44118</v>
      </c>
      <c r="G384" s="8">
        <v>6</v>
      </c>
      <c r="H384" s="11" t="s">
        <v>18</v>
      </c>
      <c r="I384" s="11" t="s">
        <v>546</v>
      </c>
      <c r="J384" s="8">
        <v>4</v>
      </c>
      <c r="K384" s="8" t="s">
        <v>550</v>
      </c>
      <c r="L384" s="8">
        <v>4</v>
      </c>
      <c r="M384" s="13">
        <v>16</v>
      </c>
    </row>
    <row r="385" spans="1:13" x14ac:dyDescent="0.25">
      <c r="A385" s="7" t="s">
        <v>13</v>
      </c>
      <c r="B385" s="8" t="s">
        <v>14</v>
      </c>
      <c r="C385" s="8" t="s">
        <v>529</v>
      </c>
      <c r="D385" s="9" t="s">
        <v>286</v>
      </c>
      <c r="E385" s="8" t="s">
        <v>530</v>
      </c>
      <c r="F385" s="10">
        <v>44132</v>
      </c>
      <c r="G385" s="8">
        <v>1</v>
      </c>
      <c r="H385" s="11" t="s">
        <v>18</v>
      </c>
      <c r="I385" s="11" t="s">
        <v>546</v>
      </c>
      <c r="J385" s="8">
        <v>1</v>
      </c>
      <c r="K385" s="8" t="s">
        <v>566</v>
      </c>
      <c r="L385" s="8">
        <v>4</v>
      </c>
      <c r="M385" s="13">
        <v>4</v>
      </c>
    </row>
    <row r="386" spans="1:13" x14ac:dyDescent="0.25">
      <c r="A386" s="7" t="s">
        <v>13</v>
      </c>
      <c r="B386" s="8" t="s">
        <v>14</v>
      </c>
      <c r="C386" s="8" t="s">
        <v>531</v>
      </c>
      <c r="D386" s="9" t="s">
        <v>532</v>
      </c>
      <c r="E386" s="8" t="s">
        <v>59</v>
      </c>
      <c r="F386" s="10">
        <v>44141</v>
      </c>
      <c r="G386" s="8">
        <v>3</v>
      </c>
      <c r="H386" s="11" t="s">
        <v>18</v>
      </c>
      <c r="I386" s="11" t="s">
        <v>546</v>
      </c>
      <c r="J386" s="8">
        <v>3</v>
      </c>
      <c r="K386" s="8" t="s">
        <v>557</v>
      </c>
      <c r="L386" s="8">
        <v>3</v>
      </c>
      <c r="M386" s="13">
        <v>27</v>
      </c>
    </row>
    <row r="387" spans="1:13" x14ac:dyDescent="0.25">
      <c r="A387" s="7" t="s">
        <v>13</v>
      </c>
      <c r="B387" s="8" t="s">
        <v>14</v>
      </c>
      <c r="C387" s="8" t="s">
        <v>533</v>
      </c>
      <c r="D387" s="9" t="s">
        <v>534</v>
      </c>
      <c r="E387" s="8" t="s">
        <v>59</v>
      </c>
      <c r="F387" s="10">
        <v>44142</v>
      </c>
      <c r="G387" s="8">
        <v>6</v>
      </c>
      <c r="H387" s="11" t="s">
        <v>18</v>
      </c>
      <c r="I387" s="11" t="s">
        <v>546</v>
      </c>
      <c r="J387" s="8">
        <v>6</v>
      </c>
      <c r="K387" s="8" t="s">
        <v>556</v>
      </c>
      <c r="L387" s="8">
        <v>3</v>
      </c>
      <c r="M387" s="13">
        <v>18</v>
      </c>
    </row>
    <row r="388" spans="1:13" x14ac:dyDescent="0.25">
      <c r="A388" s="7" t="s">
        <v>13</v>
      </c>
      <c r="B388" s="8" t="s">
        <v>24</v>
      </c>
      <c r="C388" s="8" t="s">
        <v>535</v>
      </c>
      <c r="D388" s="9" t="s">
        <v>521</v>
      </c>
      <c r="E388" s="8" t="s">
        <v>53</v>
      </c>
      <c r="F388" s="10">
        <v>44145</v>
      </c>
      <c r="G388" s="8">
        <v>6</v>
      </c>
      <c r="H388" s="11" t="s">
        <v>28</v>
      </c>
      <c r="I388" s="11" t="s">
        <v>546</v>
      </c>
      <c r="J388" s="8">
        <v>6</v>
      </c>
      <c r="K388" s="8" t="s">
        <v>547</v>
      </c>
      <c r="L388" s="8">
        <v>2</v>
      </c>
      <c r="M388" s="13">
        <v>12</v>
      </c>
    </row>
    <row r="389" spans="1:13" x14ac:dyDescent="0.25">
      <c r="A389" s="7" t="s">
        <v>13</v>
      </c>
      <c r="B389" s="8" t="s">
        <v>14</v>
      </c>
      <c r="C389" s="8" t="s">
        <v>536</v>
      </c>
      <c r="D389" s="9" t="s">
        <v>363</v>
      </c>
      <c r="E389" s="8" t="s">
        <v>49</v>
      </c>
      <c r="F389" s="10">
        <v>44131</v>
      </c>
      <c r="G389" s="8">
        <v>4</v>
      </c>
      <c r="H389" s="11" t="s">
        <v>18</v>
      </c>
      <c r="I389" s="11" t="s">
        <v>546</v>
      </c>
      <c r="J389" s="8">
        <v>4</v>
      </c>
      <c r="K389" s="8" t="s">
        <v>553</v>
      </c>
      <c r="L389" s="8">
        <v>7</v>
      </c>
      <c r="M389" s="13">
        <v>28</v>
      </c>
    </row>
    <row r="390" spans="1:13" x14ac:dyDescent="0.25">
      <c r="A390" s="7" t="s">
        <v>13</v>
      </c>
      <c r="B390" s="8" t="s">
        <v>14</v>
      </c>
      <c r="C390" s="8" t="s">
        <v>70</v>
      </c>
      <c r="D390" s="9" t="s">
        <v>537</v>
      </c>
      <c r="E390" s="8" t="s">
        <v>530</v>
      </c>
      <c r="F390" s="10">
        <v>44130</v>
      </c>
      <c r="G390" s="8">
        <v>1</v>
      </c>
      <c r="H390" s="11" t="s">
        <v>18</v>
      </c>
      <c r="I390" s="11" t="s">
        <v>546</v>
      </c>
      <c r="J390" s="8">
        <v>1</v>
      </c>
      <c r="K390" s="8" t="s">
        <v>566</v>
      </c>
      <c r="L390" s="8">
        <v>3</v>
      </c>
      <c r="M390" s="13">
        <v>3</v>
      </c>
    </row>
    <row r="391" spans="1:13" x14ac:dyDescent="0.25">
      <c r="A391" s="7" t="s">
        <v>13</v>
      </c>
      <c r="B391" s="8" t="s">
        <v>14</v>
      </c>
      <c r="C391" s="8" t="s">
        <v>538</v>
      </c>
      <c r="D391" s="9" t="s">
        <v>539</v>
      </c>
      <c r="E391" s="8" t="s">
        <v>540</v>
      </c>
      <c r="F391" s="10">
        <v>43916</v>
      </c>
      <c r="G391" s="8">
        <v>1</v>
      </c>
      <c r="H391" s="11" t="s">
        <v>18</v>
      </c>
      <c r="I391" s="11" t="s">
        <v>546</v>
      </c>
      <c r="J391" s="8">
        <v>1</v>
      </c>
      <c r="K391" s="8" t="s">
        <v>568</v>
      </c>
      <c r="L391" s="8">
        <v>6</v>
      </c>
      <c r="M391" s="13">
        <v>18</v>
      </c>
    </row>
    <row r="392" spans="1:13" x14ac:dyDescent="0.25">
      <c r="A392" s="7" t="s">
        <v>13</v>
      </c>
      <c r="B392" s="8" t="s">
        <v>24</v>
      </c>
      <c r="C392" s="8" t="s">
        <v>274</v>
      </c>
      <c r="D392" s="9" t="s">
        <v>275</v>
      </c>
      <c r="E392" s="8" t="s">
        <v>541</v>
      </c>
      <c r="F392" s="10">
        <v>44082</v>
      </c>
      <c r="G392" s="8">
        <v>2</v>
      </c>
      <c r="H392" s="11" t="s">
        <v>277</v>
      </c>
      <c r="I392" s="11" t="s">
        <v>546</v>
      </c>
      <c r="J392" s="8">
        <v>2</v>
      </c>
      <c r="K392" s="8" t="s">
        <v>570</v>
      </c>
      <c r="L392" s="8">
        <v>20</v>
      </c>
      <c r="M392" s="13">
        <v>120</v>
      </c>
    </row>
    <row r="393" spans="1:13" x14ac:dyDescent="0.25">
      <c r="A393" s="7" t="s">
        <v>13</v>
      </c>
      <c r="B393" s="8" t="s">
        <v>24</v>
      </c>
      <c r="C393" s="8" t="s">
        <v>274</v>
      </c>
      <c r="D393" s="9" t="s">
        <v>275</v>
      </c>
      <c r="E393" s="8" t="s">
        <v>542</v>
      </c>
      <c r="F393" s="10">
        <v>44082</v>
      </c>
      <c r="G393" s="8">
        <v>1</v>
      </c>
      <c r="H393" s="11" t="s">
        <v>277</v>
      </c>
      <c r="I393" s="11" t="s">
        <v>546</v>
      </c>
      <c r="J393" s="8">
        <v>1</v>
      </c>
      <c r="K393" s="8" t="s">
        <v>570</v>
      </c>
      <c r="L393" s="8">
        <v>20</v>
      </c>
      <c r="M393" s="13">
        <v>60</v>
      </c>
    </row>
    <row r="394" spans="1:13" x14ac:dyDescent="0.25">
      <c r="A394" s="7" t="s">
        <v>13</v>
      </c>
      <c r="B394" s="8" t="s">
        <v>24</v>
      </c>
      <c r="C394" s="8" t="s">
        <v>274</v>
      </c>
      <c r="D394" s="9" t="s">
        <v>275</v>
      </c>
      <c r="E394" s="8" t="s">
        <v>543</v>
      </c>
      <c r="F394" s="10">
        <v>44082</v>
      </c>
      <c r="G394" s="8">
        <v>1</v>
      </c>
      <c r="H394" s="11" t="s">
        <v>277</v>
      </c>
      <c r="I394" s="11" t="s">
        <v>546</v>
      </c>
      <c r="J394" s="8">
        <v>1</v>
      </c>
      <c r="K394" s="8" t="s">
        <v>570</v>
      </c>
      <c r="L394" s="8">
        <v>20</v>
      </c>
      <c r="M394" s="13">
        <v>60</v>
      </c>
    </row>
    <row r="395" spans="1:13" x14ac:dyDescent="0.25">
      <c r="A395" s="7" t="s">
        <v>13</v>
      </c>
      <c r="B395" s="8" t="s">
        <v>46</v>
      </c>
      <c r="C395" s="8" t="s">
        <v>544</v>
      </c>
      <c r="D395" s="9" t="s">
        <v>104</v>
      </c>
      <c r="E395" s="8" t="s">
        <v>545</v>
      </c>
      <c r="F395" s="10">
        <v>44182</v>
      </c>
      <c r="G395" s="8">
        <v>1</v>
      </c>
      <c r="H395" s="11" t="s">
        <v>50</v>
      </c>
      <c r="I395" s="11" t="s">
        <v>546</v>
      </c>
      <c r="J395" s="8">
        <v>1</v>
      </c>
      <c r="K395" s="8" t="s">
        <v>565</v>
      </c>
      <c r="L395" s="8">
        <v>2</v>
      </c>
      <c r="M395" s="13">
        <v>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259"/>
  <sheetViews>
    <sheetView workbookViewId="0">
      <pane ySplit="3" topLeftCell="A4" activePane="bottomLeft" state="frozen"/>
      <selection pane="bottomLeft" activeCell="G21" sqref="G21"/>
    </sheetView>
  </sheetViews>
  <sheetFormatPr defaultRowHeight="13.2" x14ac:dyDescent="0.25"/>
  <cols>
    <col min="1" max="1" width="24.109375" bestFit="1" customWidth="1"/>
    <col min="2" max="2" width="16.77734375" bestFit="1" customWidth="1"/>
    <col min="3" max="3" width="14.6640625" bestFit="1" customWidth="1"/>
  </cols>
  <sheetData>
    <row r="3" spans="1:4" x14ac:dyDescent="0.25">
      <c r="A3" s="15" t="s">
        <v>576</v>
      </c>
      <c r="B3" t="s">
        <v>578</v>
      </c>
      <c r="C3" t="s">
        <v>579</v>
      </c>
    </row>
    <row r="4" spans="1:4" x14ac:dyDescent="0.25">
      <c r="A4" s="16" t="s">
        <v>274</v>
      </c>
      <c r="B4" s="17">
        <v>5</v>
      </c>
      <c r="C4" s="17">
        <v>300</v>
      </c>
      <c r="D4">
        <f>VLOOKUP(A4,[1]导管成本!$B:$E,4,0)-C4</f>
        <v>0</v>
      </c>
    </row>
    <row r="5" spans="1:4" x14ac:dyDescent="0.25">
      <c r="A5" s="16" t="s">
        <v>512</v>
      </c>
      <c r="B5" s="17">
        <v>3</v>
      </c>
      <c r="C5" s="17">
        <v>45</v>
      </c>
      <c r="D5">
        <f>VLOOKUP(A5,[1]导管成本!$B:$E,4,0)-C5</f>
        <v>0</v>
      </c>
    </row>
    <row r="6" spans="1:4" x14ac:dyDescent="0.25">
      <c r="A6" s="16" t="s">
        <v>380</v>
      </c>
      <c r="B6" s="17">
        <v>3</v>
      </c>
      <c r="C6" s="17">
        <v>54</v>
      </c>
      <c r="D6">
        <f>VLOOKUP(A6,[1]导管成本!$B:$E,4,0)-C6</f>
        <v>0</v>
      </c>
    </row>
    <row r="7" spans="1:4" x14ac:dyDescent="0.25">
      <c r="A7" s="16" t="s">
        <v>377</v>
      </c>
      <c r="B7" s="17">
        <v>7</v>
      </c>
      <c r="C7" s="17">
        <v>39</v>
      </c>
      <c r="D7">
        <f>VLOOKUP(A7,[1]导管成本!$B:$E,4,0)-C7</f>
        <v>0</v>
      </c>
    </row>
    <row r="8" spans="1:4" x14ac:dyDescent="0.25">
      <c r="A8" s="16" t="s">
        <v>188</v>
      </c>
      <c r="B8" s="17">
        <v>4</v>
      </c>
      <c r="C8" s="17">
        <v>96</v>
      </c>
      <c r="D8">
        <f>VLOOKUP(A8,[1]导管成本!$B:$E,4,0)-C8</f>
        <v>0</v>
      </c>
    </row>
    <row r="9" spans="1:4" x14ac:dyDescent="0.25">
      <c r="A9" s="16" t="s">
        <v>349</v>
      </c>
      <c r="B9" s="17">
        <v>10</v>
      </c>
      <c r="C9" s="17">
        <v>36</v>
      </c>
      <c r="D9">
        <f>VLOOKUP(A9,[1]导管成本!$B:$E,4,0)-C9</f>
        <v>0</v>
      </c>
    </row>
    <row r="10" spans="1:4" x14ac:dyDescent="0.25">
      <c r="A10" s="16" t="s">
        <v>487</v>
      </c>
      <c r="B10" s="17">
        <v>10</v>
      </c>
      <c r="C10" s="17">
        <v>40</v>
      </c>
      <c r="D10">
        <f>VLOOKUP(A10,[1]导管成本!$B:$E,4,0)-C10</f>
        <v>0</v>
      </c>
    </row>
    <row r="11" spans="1:4" x14ac:dyDescent="0.25">
      <c r="A11" s="16" t="s">
        <v>375</v>
      </c>
      <c r="B11" s="17">
        <v>3</v>
      </c>
      <c r="C11" s="17">
        <v>27</v>
      </c>
      <c r="D11">
        <f>VLOOKUP(A11,[1]导管成本!$B:$E,4,0)-C11</f>
        <v>0</v>
      </c>
    </row>
    <row r="12" spans="1:4" x14ac:dyDescent="0.25">
      <c r="A12" s="16" t="s">
        <v>390</v>
      </c>
      <c r="B12" s="17">
        <v>10</v>
      </c>
      <c r="C12" s="17">
        <v>90</v>
      </c>
      <c r="D12">
        <f>VLOOKUP(A12,[1]导管成本!$B:$E,4,0)-C12</f>
        <v>0</v>
      </c>
    </row>
    <row r="13" spans="1:4" x14ac:dyDescent="0.25">
      <c r="A13" s="16" t="s">
        <v>379</v>
      </c>
      <c r="B13" s="17">
        <v>1</v>
      </c>
      <c r="C13" s="17">
        <v>15</v>
      </c>
      <c r="D13">
        <f>VLOOKUP(A13,[1]导管成本!$B:$E,4,0)-C13</f>
        <v>0</v>
      </c>
    </row>
    <row r="14" spans="1:4" x14ac:dyDescent="0.25">
      <c r="A14" s="16" t="s">
        <v>314</v>
      </c>
      <c r="B14" s="17">
        <v>1</v>
      </c>
      <c r="C14" s="17">
        <v>39</v>
      </c>
      <c r="D14">
        <f>VLOOKUP(A14,[1]导管成本!$B:$E,4,0)-C14</f>
        <v>0</v>
      </c>
    </row>
    <row r="15" spans="1:4" x14ac:dyDescent="0.25">
      <c r="A15" s="16" t="s">
        <v>25</v>
      </c>
      <c r="B15" s="17">
        <v>7</v>
      </c>
      <c r="C15" s="17">
        <v>42</v>
      </c>
      <c r="D15">
        <f>VLOOKUP(A15,[1]导管成本!$B:$E,4,0)-C15</f>
        <v>0</v>
      </c>
    </row>
    <row r="16" spans="1:4" x14ac:dyDescent="0.25">
      <c r="A16" s="16" t="s">
        <v>313</v>
      </c>
      <c r="B16" s="17">
        <v>1</v>
      </c>
      <c r="C16" s="17">
        <v>9</v>
      </c>
      <c r="D16">
        <f>VLOOKUP(A16,[1]导管成本!$B:$E,4,0)-C16</f>
        <v>0</v>
      </c>
    </row>
    <row r="17" spans="1:4" x14ac:dyDescent="0.25">
      <c r="A17" s="16" t="s">
        <v>37</v>
      </c>
      <c r="B17" s="17">
        <v>12</v>
      </c>
      <c r="C17" s="17">
        <v>36</v>
      </c>
      <c r="D17">
        <f>VLOOKUP(A17,[1]导管成本!$B:$E,4,0)-C17</f>
        <v>0</v>
      </c>
    </row>
    <row r="18" spans="1:4" x14ac:dyDescent="0.25">
      <c r="A18" s="16" t="s">
        <v>35</v>
      </c>
      <c r="B18" s="17">
        <v>5</v>
      </c>
      <c r="C18" s="17">
        <v>15</v>
      </c>
      <c r="D18">
        <f>VLOOKUP(A18,[1]导管成本!$B:$E,4,0)-C18</f>
        <v>0</v>
      </c>
    </row>
    <row r="19" spans="1:4" x14ac:dyDescent="0.25">
      <c r="A19" s="16" t="s">
        <v>32</v>
      </c>
      <c r="B19" s="17">
        <v>3</v>
      </c>
      <c r="C19" s="17">
        <v>27</v>
      </c>
      <c r="D19">
        <f>VLOOKUP(A19,[1]导管成本!$B:$E,4,0)-C19</f>
        <v>0</v>
      </c>
    </row>
    <row r="20" spans="1:4" x14ac:dyDescent="0.25">
      <c r="A20" s="16" t="s">
        <v>51</v>
      </c>
      <c r="B20" s="17">
        <v>6</v>
      </c>
      <c r="C20" s="17">
        <v>12</v>
      </c>
      <c r="D20">
        <f>VLOOKUP(A20,[1]导管成本!$B:$E,4,0)-C20</f>
        <v>0</v>
      </c>
    </row>
    <row r="21" spans="1:4" x14ac:dyDescent="0.25">
      <c r="A21" s="16" t="s">
        <v>518</v>
      </c>
      <c r="B21" s="17">
        <v>6</v>
      </c>
      <c r="C21" s="17">
        <v>18</v>
      </c>
      <c r="D21">
        <f>VLOOKUP(A21,[1]导管成本!$B:$E,4,0)-C21</f>
        <v>0</v>
      </c>
    </row>
    <row r="22" spans="1:4" x14ac:dyDescent="0.25">
      <c r="A22" s="16" t="s">
        <v>425</v>
      </c>
      <c r="B22" s="17">
        <v>4</v>
      </c>
      <c r="C22" s="17">
        <v>16</v>
      </c>
      <c r="D22">
        <f>VLOOKUP(A22,[1]导管成本!$B:$E,4,0)-C22</f>
        <v>0</v>
      </c>
    </row>
    <row r="23" spans="1:4" x14ac:dyDescent="0.25">
      <c r="A23" s="16" t="s">
        <v>535</v>
      </c>
      <c r="B23" s="17">
        <v>6</v>
      </c>
      <c r="C23" s="17">
        <v>12</v>
      </c>
      <c r="D23">
        <f>VLOOKUP(A23,[1]导管成本!$B:$E,4,0)-C23</f>
        <v>0</v>
      </c>
    </row>
    <row r="24" spans="1:4" x14ac:dyDescent="0.25">
      <c r="A24" s="16" t="s">
        <v>309</v>
      </c>
      <c r="B24" s="17">
        <v>2</v>
      </c>
      <c r="C24" s="17">
        <v>42</v>
      </c>
      <c r="D24">
        <f>VLOOKUP(A24,[1]导管成本!$B:$E,4,0)-C24</f>
        <v>0</v>
      </c>
    </row>
    <row r="25" spans="1:4" x14ac:dyDescent="0.25">
      <c r="A25" s="16" t="s">
        <v>498</v>
      </c>
      <c r="B25" s="17">
        <v>7</v>
      </c>
      <c r="C25" s="17">
        <v>42</v>
      </c>
      <c r="D25">
        <f>VLOOKUP(A25,[1]导管成本!$B:$E,4,0)-C25</f>
        <v>0</v>
      </c>
    </row>
    <row r="26" spans="1:4" x14ac:dyDescent="0.25">
      <c r="A26" s="16" t="s">
        <v>526</v>
      </c>
      <c r="B26" s="17">
        <v>11</v>
      </c>
      <c r="C26" s="17">
        <v>33</v>
      </c>
      <c r="D26">
        <f>VLOOKUP(A26,[1]导管成本!$B:$E,4,0)-C26</f>
        <v>0</v>
      </c>
    </row>
    <row r="27" spans="1:4" x14ac:dyDescent="0.25">
      <c r="A27" s="16" t="s">
        <v>382</v>
      </c>
      <c r="B27" s="17">
        <v>8</v>
      </c>
      <c r="C27" s="17">
        <v>16</v>
      </c>
      <c r="D27">
        <f>VLOOKUP(A27,[1]导管成本!$B:$E,4,0)-C27</f>
        <v>0</v>
      </c>
    </row>
    <row r="28" spans="1:4" x14ac:dyDescent="0.25">
      <c r="A28" s="16" t="s">
        <v>520</v>
      </c>
      <c r="B28" s="17">
        <v>12</v>
      </c>
      <c r="C28" s="17">
        <v>48</v>
      </c>
      <c r="D28">
        <f>VLOOKUP(A28,[1]导管成本!$B:$E,4,0)-C28</f>
        <v>0</v>
      </c>
    </row>
    <row r="29" spans="1:4" x14ac:dyDescent="0.25">
      <c r="A29" s="16" t="s">
        <v>311</v>
      </c>
      <c r="B29" s="17">
        <v>1</v>
      </c>
      <c r="C29" s="17">
        <v>6</v>
      </c>
      <c r="D29">
        <f>VLOOKUP(A29,[1]导管成本!$B:$E,4,0)-C29</f>
        <v>0</v>
      </c>
    </row>
    <row r="30" spans="1:4" x14ac:dyDescent="0.25">
      <c r="A30" s="16" t="s">
        <v>332</v>
      </c>
      <c r="B30" s="17">
        <v>2</v>
      </c>
      <c r="C30" s="17">
        <v>48</v>
      </c>
      <c r="D30">
        <f>VLOOKUP(A30,[1]导管成本!$B:$E,4,0)-C30</f>
        <v>0</v>
      </c>
    </row>
    <row r="31" spans="1:4" x14ac:dyDescent="0.25">
      <c r="A31" s="16" t="s">
        <v>327</v>
      </c>
      <c r="B31" s="17">
        <v>14</v>
      </c>
      <c r="C31" s="17">
        <v>144</v>
      </c>
      <c r="D31">
        <f>VLOOKUP(A31,[1]导管成本!$B:$E,4,0)-C31</f>
        <v>0</v>
      </c>
    </row>
    <row r="32" spans="1:4" x14ac:dyDescent="0.25">
      <c r="A32" s="16" t="s">
        <v>347</v>
      </c>
      <c r="B32" s="17">
        <v>7</v>
      </c>
      <c r="C32" s="17">
        <v>52</v>
      </c>
      <c r="D32">
        <f>VLOOKUP(A32,[1]导管成本!$B:$E,4,0)-C32</f>
        <v>0</v>
      </c>
    </row>
    <row r="33" spans="1:4" x14ac:dyDescent="0.25">
      <c r="A33" s="16" t="s">
        <v>109</v>
      </c>
      <c r="B33" s="17">
        <v>12</v>
      </c>
      <c r="C33" s="17">
        <v>36</v>
      </c>
      <c r="D33">
        <f>VLOOKUP(A33,[1]导管成本!$B:$E,4,0)-C33</f>
        <v>0</v>
      </c>
    </row>
    <row r="34" spans="1:4" x14ac:dyDescent="0.25">
      <c r="A34" s="16" t="s">
        <v>405</v>
      </c>
      <c r="B34" s="17">
        <v>22</v>
      </c>
      <c r="C34" s="17">
        <v>110</v>
      </c>
      <c r="D34">
        <f>VLOOKUP(A34,[1]导管成本!$B:$E,4,0)-C34</f>
        <v>0</v>
      </c>
    </row>
    <row r="35" spans="1:4" x14ac:dyDescent="0.25">
      <c r="A35" s="16" t="s">
        <v>317</v>
      </c>
      <c r="B35" s="17">
        <v>2</v>
      </c>
      <c r="C35" s="17">
        <v>42</v>
      </c>
      <c r="D35">
        <f>VLOOKUP(A35,[1]导管成本!$B:$E,4,0)-C35</f>
        <v>0</v>
      </c>
    </row>
    <row r="36" spans="1:4" x14ac:dyDescent="0.25">
      <c r="A36" s="16" t="s">
        <v>113</v>
      </c>
      <c r="B36" s="17">
        <v>5</v>
      </c>
      <c r="C36" s="17">
        <v>15</v>
      </c>
      <c r="D36">
        <f>VLOOKUP(A36,[1]导管成本!$B:$E,4,0)-C36</f>
        <v>0</v>
      </c>
    </row>
    <row r="37" spans="1:4" x14ac:dyDescent="0.25">
      <c r="A37" s="16" t="s">
        <v>111</v>
      </c>
      <c r="B37" s="17">
        <v>22</v>
      </c>
      <c r="C37" s="17">
        <v>144</v>
      </c>
      <c r="D37">
        <f>VLOOKUP(A37,[1]导管成本!$B:$E,4,0)-C37</f>
        <v>0</v>
      </c>
    </row>
    <row r="38" spans="1:4" x14ac:dyDescent="0.25">
      <c r="A38" s="16" t="s">
        <v>334</v>
      </c>
      <c r="B38" s="17">
        <v>3</v>
      </c>
      <c r="C38" s="17">
        <v>54</v>
      </c>
      <c r="D38">
        <f>VLOOKUP(A38,[1]导管成本!$B:$E,4,0)-C38</f>
        <v>0</v>
      </c>
    </row>
    <row r="39" spans="1:4" x14ac:dyDescent="0.25">
      <c r="A39" s="16" t="s">
        <v>499</v>
      </c>
      <c r="B39" s="17">
        <v>4</v>
      </c>
      <c r="C39" s="17">
        <v>12</v>
      </c>
      <c r="D39">
        <f>VLOOKUP(A39,[1]导管成本!$B:$E,4,0)-C39</f>
        <v>0</v>
      </c>
    </row>
    <row r="40" spans="1:4" x14ac:dyDescent="0.25">
      <c r="A40" s="16" t="s">
        <v>501</v>
      </c>
      <c r="B40" s="17">
        <v>10</v>
      </c>
      <c r="C40" s="17">
        <v>50</v>
      </c>
      <c r="D40">
        <f>VLOOKUP(A40,[1]导管成本!$B:$E,4,0)-C40</f>
        <v>0</v>
      </c>
    </row>
    <row r="41" spans="1:4" x14ac:dyDescent="0.25">
      <c r="A41" s="16" t="s">
        <v>538</v>
      </c>
      <c r="B41" s="17">
        <v>1</v>
      </c>
      <c r="C41" s="17">
        <v>18</v>
      </c>
      <c r="D41">
        <f>VLOOKUP(A41,[1]导管成本!$B:$E,4,0)-C41</f>
        <v>0</v>
      </c>
    </row>
    <row r="42" spans="1:4" x14ac:dyDescent="0.25">
      <c r="A42" s="16" t="s">
        <v>502</v>
      </c>
      <c r="B42" s="17">
        <v>9</v>
      </c>
      <c r="C42" s="17">
        <v>54</v>
      </c>
      <c r="D42">
        <f>VLOOKUP(A42,[1]导管成本!$B:$E,4,0)-C42</f>
        <v>0</v>
      </c>
    </row>
    <row r="43" spans="1:4" x14ac:dyDescent="0.25">
      <c r="A43" s="16" t="s">
        <v>533</v>
      </c>
      <c r="B43" s="17">
        <v>6</v>
      </c>
      <c r="C43" s="17">
        <v>18</v>
      </c>
      <c r="D43">
        <f>VLOOKUP(A43,[1]导管成本!$B:$E,4,0)-C43</f>
        <v>0</v>
      </c>
    </row>
    <row r="44" spans="1:4" x14ac:dyDescent="0.25">
      <c r="A44" s="16" t="s">
        <v>231</v>
      </c>
      <c r="B44" s="17">
        <v>10</v>
      </c>
      <c r="C44" s="17">
        <v>80</v>
      </c>
      <c r="D44">
        <f>VLOOKUP(A44,[1]导管成本!$B:$E,4,0)-C44</f>
        <v>0</v>
      </c>
    </row>
    <row r="45" spans="1:4" x14ac:dyDescent="0.25">
      <c r="A45" s="16" t="s">
        <v>393</v>
      </c>
      <c r="B45" s="17">
        <v>16</v>
      </c>
      <c r="C45" s="17">
        <v>48</v>
      </c>
      <c r="D45">
        <f>VLOOKUP(A45,[1]导管成本!$B:$E,4,0)-C45</f>
        <v>0</v>
      </c>
    </row>
    <row r="46" spans="1:4" x14ac:dyDescent="0.25">
      <c r="A46" s="16" t="s">
        <v>194</v>
      </c>
      <c r="B46" s="17">
        <v>10</v>
      </c>
      <c r="C46" s="17">
        <v>60</v>
      </c>
      <c r="D46">
        <f>VLOOKUP(A46,[1]导管成本!$B:$E,4,0)-C46</f>
        <v>0</v>
      </c>
    </row>
    <row r="47" spans="1:4" x14ac:dyDescent="0.25">
      <c r="A47" s="16" t="s">
        <v>330</v>
      </c>
      <c r="B47" s="17">
        <v>5</v>
      </c>
      <c r="C47" s="17">
        <v>84</v>
      </c>
      <c r="D47">
        <f>VLOOKUP(A47,[1]导管成本!$B:$E,4,0)-C47</f>
        <v>0</v>
      </c>
    </row>
    <row r="48" spans="1:4" x14ac:dyDescent="0.25">
      <c r="A48" s="16" t="s">
        <v>224</v>
      </c>
      <c r="B48" s="17">
        <v>4</v>
      </c>
      <c r="C48" s="17">
        <v>96</v>
      </c>
      <c r="D48">
        <f>VLOOKUP(A48,[1]导管成本!$B:$E,4,0)-C48</f>
        <v>0</v>
      </c>
    </row>
    <row r="49" spans="1:4" x14ac:dyDescent="0.25">
      <c r="A49" s="16" t="s">
        <v>319</v>
      </c>
      <c r="B49" s="17">
        <v>10</v>
      </c>
      <c r="C49" s="17">
        <v>154</v>
      </c>
      <c r="D49">
        <f>VLOOKUP(A49,[1]导管成本!$B:$E,4,0)-C49</f>
        <v>0</v>
      </c>
    </row>
    <row r="50" spans="1:4" x14ac:dyDescent="0.25">
      <c r="A50" s="16" t="s">
        <v>202</v>
      </c>
      <c r="B50" s="17">
        <v>2</v>
      </c>
      <c r="C50" s="17">
        <v>18</v>
      </c>
      <c r="D50">
        <f>VLOOKUP(A50,[1]导管成本!$B:$E,4,0)-C50</f>
        <v>0</v>
      </c>
    </row>
    <row r="51" spans="1:4" x14ac:dyDescent="0.25">
      <c r="A51" s="16" t="s">
        <v>296</v>
      </c>
      <c r="B51" s="17">
        <v>8</v>
      </c>
      <c r="C51" s="17">
        <v>32</v>
      </c>
      <c r="D51">
        <f>VLOOKUP(A51,[1]导管成本!$B:$E,4,0)-C51</f>
        <v>0</v>
      </c>
    </row>
    <row r="52" spans="1:4" x14ac:dyDescent="0.25">
      <c r="A52" s="16" t="s">
        <v>479</v>
      </c>
      <c r="B52" s="17">
        <v>15</v>
      </c>
      <c r="C52" s="17">
        <v>45</v>
      </c>
      <c r="D52">
        <f>VLOOKUP(A52,[1]导管成本!$B:$E,4,0)-C52</f>
        <v>0</v>
      </c>
    </row>
    <row r="53" spans="1:4" x14ac:dyDescent="0.25">
      <c r="A53" s="16" t="s">
        <v>324</v>
      </c>
      <c r="B53" s="17">
        <v>7</v>
      </c>
      <c r="C53" s="17">
        <v>28</v>
      </c>
      <c r="D53">
        <f>VLOOKUP(A53,[1]导管成本!$B:$E,4,0)-C53</f>
        <v>0</v>
      </c>
    </row>
    <row r="54" spans="1:4" x14ac:dyDescent="0.25">
      <c r="A54" s="16" t="s">
        <v>323</v>
      </c>
      <c r="B54" s="17">
        <v>7</v>
      </c>
      <c r="C54" s="17">
        <v>21</v>
      </c>
      <c r="D54">
        <f>VLOOKUP(A54,[1]导管成本!$B:$E,4,0)-C54</f>
        <v>0</v>
      </c>
    </row>
    <row r="55" spans="1:4" x14ac:dyDescent="0.25">
      <c r="A55" s="16" t="s">
        <v>388</v>
      </c>
      <c r="B55" s="17">
        <v>4</v>
      </c>
      <c r="C55" s="17">
        <v>16</v>
      </c>
      <c r="D55">
        <f>VLOOKUP(A55,[1]导管成本!$B:$E,4,0)-C55</f>
        <v>0</v>
      </c>
    </row>
    <row r="56" spans="1:4" x14ac:dyDescent="0.25">
      <c r="A56" s="16" t="s">
        <v>417</v>
      </c>
      <c r="B56" s="17">
        <v>22</v>
      </c>
      <c r="C56" s="17">
        <v>66</v>
      </c>
      <c r="D56">
        <f>VLOOKUP(A56,[1]导管成本!$B:$E,4,0)-C56</f>
        <v>0</v>
      </c>
    </row>
    <row r="57" spans="1:4" x14ac:dyDescent="0.25">
      <c r="A57" s="16" t="s">
        <v>461</v>
      </c>
      <c r="B57" s="17">
        <v>14</v>
      </c>
      <c r="C57" s="17">
        <v>42</v>
      </c>
      <c r="D57">
        <f>VLOOKUP(A57,[1]导管成本!$B:$E,4,0)-C57</f>
        <v>0</v>
      </c>
    </row>
    <row r="58" spans="1:4" x14ac:dyDescent="0.25">
      <c r="A58" s="16" t="s">
        <v>458</v>
      </c>
      <c r="B58" s="17">
        <v>20</v>
      </c>
      <c r="C58" s="17">
        <v>140</v>
      </c>
      <c r="D58">
        <f>VLOOKUP(A58,[1]导管成本!$B:$E,4,0)-C58</f>
        <v>0</v>
      </c>
    </row>
    <row r="59" spans="1:4" x14ac:dyDescent="0.25">
      <c r="A59" s="16" t="s">
        <v>456</v>
      </c>
      <c r="B59" s="17">
        <v>10</v>
      </c>
      <c r="C59" s="17">
        <v>56</v>
      </c>
      <c r="D59">
        <f>VLOOKUP(A59,[1]导管成本!$B:$E,4,0)-C59</f>
        <v>0</v>
      </c>
    </row>
    <row r="60" spans="1:4" x14ac:dyDescent="0.25">
      <c r="A60" s="16" t="s">
        <v>411</v>
      </c>
      <c r="B60" s="17">
        <v>18</v>
      </c>
      <c r="C60" s="17">
        <v>54</v>
      </c>
      <c r="D60">
        <f>VLOOKUP(A60,[1]导管成本!$B:$E,4,0)-C60</f>
        <v>0</v>
      </c>
    </row>
    <row r="61" spans="1:4" x14ac:dyDescent="0.25">
      <c r="A61" s="16" t="s">
        <v>478</v>
      </c>
      <c r="B61" s="17">
        <v>10</v>
      </c>
      <c r="C61" s="17">
        <v>30</v>
      </c>
      <c r="D61">
        <f>VLOOKUP(A61,[1]导管成本!$B:$E,4,0)-C61</f>
        <v>0</v>
      </c>
    </row>
    <row r="62" spans="1:4" x14ac:dyDescent="0.25">
      <c r="A62" s="16" t="s">
        <v>284</v>
      </c>
      <c r="B62" s="17">
        <v>22</v>
      </c>
      <c r="C62" s="17">
        <v>66</v>
      </c>
      <c r="D62">
        <f>VLOOKUP(A62,[1]导管成本!$B:$E,4,0)-C62</f>
        <v>0</v>
      </c>
    </row>
    <row r="63" spans="1:4" x14ac:dyDescent="0.25">
      <c r="A63" s="16" t="s">
        <v>292</v>
      </c>
      <c r="B63" s="17">
        <v>26</v>
      </c>
      <c r="C63" s="17">
        <v>78</v>
      </c>
      <c r="D63">
        <f>VLOOKUP(A63,[1]导管成本!$B:$E,4,0)-C63</f>
        <v>0</v>
      </c>
    </row>
    <row r="64" spans="1:4" x14ac:dyDescent="0.25">
      <c r="A64" s="16" t="s">
        <v>106</v>
      </c>
      <c r="B64" s="17">
        <v>20</v>
      </c>
      <c r="C64" s="17">
        <v>60</v>
      </c>
      <c r="D64">
        <f>VLOOKUP(A64,[1]导管成本!$B:$E,4,0)-C64</f>
        <v>0</v>
      </c>
    </row>
    <row r="65" spans="1:4" x14ac:dyDescent="0.25">
      <c r="A65" s="16" t="s">
        <v>219</v>
      </c>
      <c r="B65" s="17">
        <v>24</v>
      </c>
      <c r="C65" s="17">
        <v>72</v>
      </c>
      <c r="D65">
        <f>VLOOKUP(A65,[1]导管成本!$B:$E,4,0)-C65</f>
        <v>0</v>
      </c>
    </row>
    <row r="66" spans="1:4" x14ac:dyDescent="0.25">
      <c r="A66" s="16" t="s">
        <v>418</v>
      </c>
      <c r="B66" s="17">
        <v>16</v>
      </c>
      <c r="C66" s="17">
        <v>80</v>
      </c>
      <c r="D66">
        <f>VLOOKUP(A66,[1]导管成本!$B:$E,4,0)-C66</f>
        <v>0</v>
      </c>
    </row>
    <row r="67" spans="1:4" x14ac:dyDescent="0.25">
      <c r="A67" s="16" t="s">
        <v>70</v>
      </c>
      <c r="B67" s="17">
        <v>6</v>
      </c>
      <c r="C67" s="17">
        <v>18</v>
      </c>
      <c r="D67">
        <f>VLOOKUP(A67,[1]导管成本!$B:$E,4,0)-C67</f>
        <v>0</v>
      </c>
    </row>
    <row r="68" spans="1:4" x14ac:dyDescent="0.25">
      <c r="A68" s="16" t="s">
        <v>402</v>
      </c>
      <c r="B68" s="17">
        <v>6</v>
      </c>
      <c r="C68" s="17">
        <v>30</v>
      </c>
      <c r="D68">
        <f>VLOOKUP(A68,[1]导管成本!$B:$E,4,0)-C68</f>
        <v>0</v>
      </c>
    </row>
    <row r="69" spans="1:4" x14ac:dyDescent="0.25">
      <c r="A69" s="16" t="s">
        <v>414</v>
      </c>
      <c r="B69" s="17">
        <v>22</v>
      </c>
      <c r="C69" s="17">
        <v>88</v>
      </c>
      <c r="D69">
        <f>VLOOKUP(A69,[1]导管成本!$B:$E,4,0)-C69</f>
        <v>0</v>
      </c>
    </row>
    <row r="70" spans="1:4" x14ac:dyDescent="0.25">
      <c r="A70" s="16" t="s">
        <v>480</v>
      </c>
      <c r="B70" s="17">
        <v>16</v>
      </c>
      <c r="C70" s="17">
        <v>64</v>
      </c>
      <c r="D70">
        <f>VLOOKUP(A70,[1]导管成本!$B:$E,4,0)-C70</f>
        <v>0</v>
      </c>
    </row>
    <row r="71" spans="1:4" x14ac:dyDescent="0.25">
      <c r="A71" s="16" t="s">
        <v>298</v>
      </c>
      <c r="B71" s="17">
        <v>22</v>
      </c>
      <c r="C71" s="17">
        <v>88</v>
      </c>
      <c r="D71">
        <f>VLOOKUP(A71,[1]导管成本!$B:$E,4,0)-C71</f>
        <v>0</v>
      </c>
    </row>
    <row r="72" spans="1:4" x14ac:dyDescent="0.25">
      <c r="A72" s="16" t="s">
        <v>238</v>
      </c>
      <c r="B72" s="17">
        <v>8</v>
      </c>
      <c r="C72" s="17">
        <v>84</v>
      </c>
      <c r="D72">
        <f>VLOOKUP(A72,[1]导管成本!$B:$E,4,0)-C72</f>
        <v>0</v>
      </c>
    </row>
    <row r="73" spans="1:4" x14ac:dyDescent="0.25">
      <c r="A73" s="16" t="s">
        <v>255</v>
      </c>
      <c r="B73" s="17">
        <v>6</v>
      </c>
      <c r="C73" s="17">
        <v>80</v>
      </c>
      <c r="D73">
        <f>VLOOKUP(A73,[1]导管成本!$B:$E,4,0)-C73</f>
        <v>0</v>
      </c>
    </row>
    <row r="74" spans="1:4" x14ac:dyDescent="0.25">
      <c r="A74" s="16" t="s">
        <v>470</v>
      </c>
      <c r="B74" s="17">
        <v>6</v>
      </c>
      <c r="C74" s="17">
        <v>30</v>
      </c>
      <c r="D74">
        <f>VLOOKUP(A74,[1]导管成本!$B:$E,4,0)-C74</f>
        <v>0</v>
      </c>
    </row>
    <row r="75" spans="1:4" x14ac:dyDescent="0.25">
      <c r="A75" s="16" t="s">
        <v>472</v>
      </c>
      <c r="B75" s="17">
        <v>7</v>
      </c>
      <c r="C75" s="17">
        <v>49</v>
      </c>
      <c r="D75">
        <f>VLOOKUP(A75,[1]导管成本!$B:$E,4,0)-C75</f>
        <v>0</v>
      </c>
    </row>
    <row r="76" spans="1:4" x14ac:dyDescent="0.25">
      <c r="A76" s="16" t="s">
        <v>468</v>
      </c>
      <c r="B76" s="17">
        <v>6</v>
      </c>
      <c r="C76" s="17">
        <v>36</v>
      </c>
      <c r="D76">
        <f>VLOOKUP(A76,[1]导管成本!$B:$E,4,0)-C76</f>
        <v>0</v>
      </c>
    </row>
    <row r="77" spans="1:4" x14ac:dyDescent="0.25">
      <c r="A77" s="16" t="s">
        <v>176</v>
      </c>
      <c r="B77" s="17">
        <v>22</v>
      </c>
      <c r="C77" s="17">
        <v>66</v>
      </c>
      <c r="D77">
        <f>VLOOKUP(A77,[1]导管成本!$B:$E,4,0)-C77</f>
        <v>0</v>
      </c>
    </row>
    <row r="78" spans="1:4" x14ac:dyDescent="0.25">
      <c r="A78" s="16" t="s">
        <v>123</v>
      </c>
      <c r="B78" s="17">
        <v>2</v>
      </c>
      <c r="C78" s="17">
        <v>24</v>
      </c>
      <c r="D78">
        <f>VLOOKUP(A78,[1]导管成本!$B:$E,4,0)-C78</f>
        <v>0</v>
      </c>
    </row>
    <row r="79" spans="1:4" x14ac:dyDescent="0.25">
      <c r="A79" s="16" t="s">
        <v>288</v>
      </c>
      <c r="B79" s="17">
        <v>6</v>
      </c>
      <c r="C79" s="17">
        <v>40</v>
      </c>
      <c r="D79">
        <f>VLOOKUP(A79,[1]导管成本!$B:$E,4,0)-C79</f>
        <v>0</v>
      </c>
    </row>
    <row r="80" spans="1:4" x14ac:dyDescent="0.25">
      <c r="A80" s="16" t="s">
        <v>221</v>
      </c>
      <c r="B80" s="17">
        <v>22</v>
      </c>
      <c r="C80" s="17">
        <v>88</v>
      </c>
      <c r="D80">
        <f>VLOOKUP(A80,[1]导管成本!$B:$E,4,0)-C80</f>
        <v>0</v>
      </c>
    </row>
    <row r="81" spans="1:4" x14ac:dyDescent="0.25">
      <c r="A81" s="16" t="s">
        <v>100</v>
      </c>
      <c r="B81" s="17">
        <v>4</v>
      </c>
      <c r="C81" s="17">
        <v>12</v>
      </c>
      <c r="D81">
        <f>VLOOKUP(A81,[1]导管成本!$B:$E,4,0)-C81</f>
        <v>0</v>
      </c>
    </row>
    <row r="82" spans="1:4" x14ac:dyDescent="0.25">
      <c r="A82" s="16" t="s">
        <v>408</v>
      </c>
      <c r="B82" s="17">
        <v>2</v>
      </c>
      <c r="C82" s="17">
        <v>60</v>
      </c>
      <c r="D82">
        <f>VLOOKUP(A82,[1]导管成本!$B:$E,4,0)-C82</f>
        <v>0</v>
      </c>
    </row>
    <row r="83" spans="1:4" x14ac:dyDescent="0.25">
      <c r="A83" s="16" t="s">
        <v>285</v>
      </c>
      <c r="B83" s="17">
        <v>18</v>
      </c>
      <c r="C83" s="17">
        <v>54</v>
      </c>
      <c r="D83">
        <f>VLOOKUP(A83,[1]导管成本!$B:$E,4,0)-C83</f>
        <v>0</v>
      </c>
    </row>
    <row r="84" spans="1:4" x14ac:dyDescent="0.25">
      <c r="A84" s="16" t="s">
        <v>291</v>
      </c>
      <c r="B84" s="17">
        <v>10</v>
      </c>
      <c r="C84" s="17">
        <v>30</v>
      </c>
      <c r="D84">
        <f>VLOOKUP(A84,[1]导管成本!$B:$E,4,0)-C84</f>
        <v>0</v>
      </c>
    </row>
    <row r="85" spans="1:4" x14ac:dyDescent="0.25">
      <c r="A85" s="16" t="s">
        <v>267</v>
      </c>
      <c r="B85" s="17">
        <v>22</v>
      </c>
      <c r="C85" s="17">
        <v>110</v>
      </c>
      <c r="D85">
        <f>VLOOKUP(A85,[1]导管成本!$B:$E,4,0)-C85</f>
        <v>0</v>
      </c>
    </row>
    <row r="86" spans="1:4" x14ac:dyDescent="0.25">
      <c r="A86" s="16" t="s">
        <v>118</v>
      </c>
      <c r="B86" s="17">
        <v>12</v>
      </c>
      <c r="C86" s="17">
        <v>36</v>
      </c>
      <c r="D86">
        <f>VLOOKUP(A86,[1]导管成本!$B:$E,4,0)-C86</f>
        <v>0</v>
      </c>
    </row>
    <row r="87" spans="1:4" x14ac:dyDescent="0.25">
      <c r="A87" s="16" t="s">
        <v>60</v>
      </c>
      <c r="B87" s="17">
        <v>10</v>
      </c>
      <c r="C87" s="17">
        <v>50</v>
      </c>
      <c r="D87">
        <f>VLOOKUP(A87,[1]导管成本!$B:$E,4,0)-C87</f>
        <v>0</v>
      </c>
    </row>
    <row r="88" spans="1:4" x14ac:dyDescent="0.25">
      <c r="A88" s="16" t="s">
        <v>171</v>
      </c>
      <c r="B88" s="17">
        <v>22</v>
      </c>
      <c r="C88" s="17">
        <v>88</v>
      </c>
      <c r="D88">
        <f>VLOOKUP(A88,[1]导管成本!$B:$E,4,0)-C88</f>
        <v>0</v>
      </c>
    </row>
    <row r="89" spans="1:4" x14ac:dyDescent="0.25">
      <c r="A89" s="16" t="s">
        <v>57</v>
      </c>
      <c r="B89" s="17">
        <v>10</v>
      </c>
      <c r="C89" s="17">
        <v>42</v>
      </c>
      <c r="D89">
        <f>VLOOKUP(A89,[1]导管成本!$B:$E,4,0)-C89</f>
        <v>0</v>
      </c>
    </row>
    <row r="90" spans="1:4" x14ac:dyDescent="0.25">
      <c r="A90" s="16" t="s">
        <v>529</v>
      </c>
      <c r="B90" s="17">
        <v>1</v>
      </c>
      <c r="C90" s="17">
        <v>4</v>
      </c>
      <c r="D90">
        <f>VLOOKUP(A90,[1]导管成本!$B:$E,4,0)-C90</f>
        <v>0</v>
      </c>
    </row>
    <row r="91" spans="1:4" x14ac:dyDescent="0.25">
      <c r="A91" s="16" t="s">
        <v>218</v>
      </c>
      <c r="B91" s="17">
        <v>22</v>
      </c>
      <c r="C91" s="17">
        <v>110</v>
      </c>
      <c r="D91">
        <f>VLOOKUP(A91,[1]导管成本!$B:$E,4,0)-C91</f>
        <v>0</v>
      </c>
    </row>
    <row r="92" spans="1:4" x14ac:dyDescent="0.25">
      <c r="A92" s="16" t="s">
        <v>250</v>
      </c>
      <c r="B92" s="17">
        <v>22</v>
      </c>
      <c r="C92" s="17">
        <v>110</v>
      </c>
      <c r="D92">
        <f>VLOOKUP(A92,[1]导管成本!$B:$E,4,0)-C92</f>
        <v>0</v>
      </c>
    </row>
    <row r="93" spans="1:4" x14ac:dyDescent="0.25">
      <c r="A93" s="16" t="s">
        <v>167</v>
      </c>
      <c r="B93" s="17">
        <v>21</v>
      </c>
      <c r="C93" s="17">
        <v>84</v>
      </c>
      <c r="D93">
        <f>VLOOKUP(A93,[1]导管成本!$B:$E,4,0)-C93</f>
        <v>0</v>
      </c>
    </row>
    <row r="94" spans="1:4" x14ac:dyDescent="0.25">
      <c r="A94" s="16" t="s">
        <v>172</v>
      </c>
      <c r="B94" s="17">
        <v>3</v>
      </c>
      <c r="C94" s="17">
        <v>27</v>
      </c>
      <c r="D94">
        <f>VLOOKUP(A94,[1]导管成本!$B:$E,4,0)-C94</f>
        <v>0</v>
      </c>
    </row>
    <row r="95" spans="1:4" x14ac:dyDescent="0.25">
      <c r="A95" s="16" t="s">
        <v>387</v>
      </c>
      <c r="B95" s="17">
        <v>2</v>
      </c>
      <c r="C95" s="17">
        <v>84</v>
      </c>
      <c r="D95">
        <f>VLOOKUP(A95,[1]导管成本!$B:$E,4,0)-C95</f>
        <v>0</v>
      </c>
    </row>
    <row r="96" spans="1:4" x14ac:dyDescent="0.25">
      <c r="A96" s="16" t="s">
        <v>428</v>
      </c>
      <c r="B96" s="17">
        <v>13</v>
      </c>
      <c r="C96" s="17">
        <v>65</v>
      </c>
      <c r="D96">
        <f>VLOOKUP(A96,[1]导管成本!$B:$E,4,0)-C96</f>
        <v>0</v>
      </c>
    </row>
    <row r="97" spans="1:4" x14ac:dyDescent="0.25">
      <c r="A97" s="16" t="s">
        <v>282</v>
      </c>
      <c r="B97" s="17">
        <v>14</v>
      </c>
      <c r="C97" s="17">
        <v>84</v>
      </c>
      <c r="D97">
        <f>VLOOKUP(A97,[1]导管成本!$B:$E,4,0)-C97</f>
        <v>0</v>
      </c>
    </row>
    <row r="98" spans="1:4" x14ac:dyDescent="0.25">
      <c r="A98" s="16" t="s">
        <v>476</v>
      </c>
      <c r="B98" s="17">
        <v>9</v>
      </c>
      <c r="C98" s="17">
        <v>91</v>
      </c>
      <c r="D98">
        <f>VLOOKUP(A98,[1]导管成本!$B:$E,4,0)-C98</f>
        <v>0</v>
      </c>
    </row>
    <row r="99" spans="1:4" x14ac:dyDescent="0.25">
      <c r="A99" s="16" t="s">
        <v>251</v>
      </c>
      <c r="B99" s="17">
        <v>23</v>
      </c>
      <c r="C99" s="17">
        <v>81</v>
      </c>
      <c r="D99">
        <f>VLOOKUP(A99,[1]导管成本!$B:$E,4,0)-C99</f>
        <v>0</v>
      </c>
    </row>
    <row r="100" spans="1:4" x14ac:dyDescent="0.25">
      <c r="A100" s="16" t="s">
        <v>508</v>
      </c>
      <c r="B100" s="17">
        <v>6</v>
      </c>
      <c r="C100" s="17">
        <v>24</v>
      </c>
      <c r="D100">
        <f>VLOOKUP(A100,[1]导管成本!$B:$E,4,0)-C100</f>
        <v>0</v>
      </c>
    </row>
    <row r="101" spans="1:4" x14ac:dyDescent="0.25">
      <c r="A101" s="16" t="s">
        <v>120</v>
      </c>
      <c r="B101" s="17">
        <v>19</v>
      </c>
      <c r="C101" s="17">
        <v>57</v>
      </c>
      <c r="D101">
        <f>VLOOKUP(A101,[1]导管成本!$B:$E,4,0)-C101</f>
        <v>0</v>
      </c>
    </row>
    <row r="102" spans="1:4" x14ac:dyDescent="0.25">
      <c r="A102" s="16" t="s">
        <v>475</v>
      </c>
      <c r="B102" s="17">
        <v>6</v>
      </c>
      <c r="C102" s="17">
        <v>54</v>
      </c>
      <c r="D102">
        <f>VLOOKUP(A102,[1]导管成本!$B:$E,4,0)-C102</f>
        <v>0</v>
      </c>
    </row>
    <row r="103" spans="1:4" x14ac:dyDescent="0.25">
      <c r="A103" s="16" t="s">
        <v>116</v>
      </c>
      <c r="B103" s="17">
        <v>21</v>
      </c>
      <c r="C103" s="17">
        <v>63</v>
      </c>
      <c r="D103">
        <f>VLOOKUP(A103,[1]导管成本!$B:$E,4,0)-C103</f>
        <v>0</v>
      </c>
    </row>
    <row r="104" spans="1:4" x14ac:dyDescent="0.25">
      <c r="A104" s="16" t="s">
        <v>63</v>
      </c>
      <c r="B104" s="17">
        <v>10</v>
      </c>
      <c r="C104" s="17">
        <v>60</v>
      </c>
      <c r="D104">
        <f>VLOOKUP(A104,[1]导管成本!$B:$E,4,0)-C104</f>
        <v>0</v>
      </c>
    </row>
    <row r="105" spans="1:4" x14ac:dyDescent="0.25">
      <c r="A105" s="16" t="s">
        <v>78</v>
      </c>
      <c r="B105" s="17">
        <v>10</v>
      </c>
      <c r="C105" s="17">
        <v>40</v>
      </c>
      <c r="D105">
        <f>VLOOKUP(A105,[1]导管成本!$B:$E,4,0)-C105</f>
        <v>0</v>
      </c>
    </row>
    <row r="106" spans="1:4" x14ac:dyDescent="0.25">
      <c r="A106" s="16" t="s">
        <v>195</v>
      </c>
      <c r="B106" s="17">
        <v>15</v>
      </c>
      <c r="C106" s="17">
        <v>45</v>
      </c>
      <c r="D106">
        <f>VLOOKUP(A106,[1]导管成本!$B:$E,4,0)-C106</f>
        <v>0</v>
      </c>
    </row>
    <row r="107" spans="1:4" x14ac:dyDescent="0.25">
      <c r="A107" s="16" t="s">
        <v>15</v>
      </c>
      <c r="B107" s="17">
        <v>2</v>
      </c>
      <c r="C107" s="17">
        <v>18</v>
      </c>
      <c r="D107">
        <f>VLOOKUP(A107,[1]导管成本!$B:$E,4,0)-C107</f>
        <v>0</v>
      </c>
    </row>
    <row r="108" spans="1:4" x14ac:dyDescent="0.25">
      <c r="A108" s="16" t="s">
        <v>196</v>
      </c>
      <c r="B108" s="17">
        <v>18</v>
      </c>
      <c r="C108" s="17">
        <v>72</v>
      </c>
      <c r="D108">
        <f>VLOOKUP(A108,[1]导管成本!$B:$E,4,0)-C108</f>
        <v>0</v>
      </c>
    </row>
    <row r="109" spans="1:4" x14ac:dyDescent="0.25">
      <c r="A109" s="16" t="s">
        <v>258</v>
      </c>
      <c r="B109" s="17">
        <v>22</v>
      </c>
      <c r="C109" s="17">
        <v>66</v>
      </c>
      <c r="D109">
        <f>VLOOKUP(A109,[1]导管成本!$B:$E,4,0)-C109</f>
        <v>0</v>
      </c>
    </row>
    <row r="110" spans="1:4" x14ac:dyDescent="0.25">
      <c r="A110" s="16" t="s">
        <v>266</v>
      </c>
      <c r="B110" s="17">
        <v>22</v>
      </c>
      <c r="C110" s="17">
        <v>88</v>
      </c>
      <c r="D110">
        <f>VLOOKUP(A110,[1]导管成本!$B:$E,4,0)-C110</f>
        <v>0</v>
      </c>
    </row>
    <row r="111" spans="1:4" x14ac:dyDescent="0.25">
      <c r="A111" s="16" t="s">
        <v>249</v>
      </c>
      <c r="B111" s="17">
        <v>22</v>
      </c>
      <c r="C111" s="17">
        <v>66</v>
      </c>
      <c r="D111">
        <f>VLOOKUP(A111,[1]导管成本!$B:$E,4,0)-C111</f>
        <v>0</v>
      </c>
    </row>
    <row r="112" spans="1:4" x14ac:dyDescent="0.25">
      <c r="A112" s="16" t="s">
        <v>257</v>
      </c>
      <c r="B112" s="17">
        <v>21</v>
      </c>
      <c r="C112" s="17">
        <v>84</v>
      </c>
      <c r="D112">
        <f>VLOOKUP(A112,[1]导管成本!$B:$E,4,0)-C112</f>
        <v>0</v>
      </c>
    </row>
    <row r="113" spans="1:4" x14ac:dyDescent="0.25">
      <c r="A113" s="16" t="s">
        <v>65</v>
      </c>
      <c r="B113" s="17">
        <v>11</v>
      </c>
      <c r="C113" s="17">
        <v>68</v>
      </c>
      <c r="D113">
        <f>VLOOKUP(A113,[1]导管成本!$B:$E,4,0)-C113</f>
        <v>0</v>
      </c>
    </row>
    <row r="114" spans="1:4" x14ac:dyDescent="0.25">
      <c r="A114" s="16" t="s">
        <v>69</v>
      </c>
      <c r="B114" s="17">
        <v>7</v>
      </c>
      <c r="C114" s="17">
        <v>21</v>
      </c>
      <c r="D114">
        <f>VLOOKUP(A114,[1]导管成本!$B:$E,4,0)-C114</f>
        <v>0</v>
      </c>
    </row>
    <row r="115" spans="1:4" x14ac:dyDescent="0.25">
      <c r="A115" s="16" t="s">
        <v>54</v>
      </c>
      <c r="B115" s="17">
        <v>15</v>
      </c>
      <c r="C115" s="17">
        <v>45</v>
      </c>
      <c r="D115">
        <f>VLOOKUP(A115,[1]导管成本!$B:$E,4,0)-C115</f>
        <v>0</v>
      </c>
    </row>
    <row r="116" spans="1:4" x14ac:dyDescent="0.25">
      <c r="A116" s="16" t="s">
        <v>177</v>
      </c>
      <c r="B116" s="17">
        <v>22</v>
      </c>
      <c r="C116" s="17">
        <v>66</v>
      </c>
      <c r="D116">
        <f>VLOOKUP(A116,[1]导管成本!$B:$E,4,0)-C116</f>
        <v>0</v>
      </c>
    </row>
    <row r="117" spans="1:4" x14ac:dyDescent="0.25">
      <c r="A117" s="16" t="s">
        <v>64</v>
      </c>
      <c r="B117" s="17">
        <v>10</v>
      </c>
      <c r="C117" s="17">
        <v>30</v>
      </c>
      <c r="D117">
        <f>VLOOKUP(A117,[1]导管成本!$B:$E,4,0)-C117</f>
        <v>0</v>
      </c>
    </row>
    <row r="118" spans="1:4" x14ac:dyDescent="0.25">
      <c r="A118" s="16" t="s">
        <v>169</v>
      </c>
      <c r="B118" s="17">
        <v>22</v>
      </c>
      <c r="C118" s="17">
        <v>66</v>
      </c>
      <c r="D118">
        <f>VLOOKUP(A118,[1]导管成本!$B:$E,4,0)-C118</f>
        <v>0</v>
      </c>
    </row>
    <row r="119" spans="1:4" x14ac:dyDescent="0.25">
      <c r="A119" s="16" t="s">
        <v>525</v>
      </c>
      <c r="B119" s="17">
        <v>4</v>
      </c>
      <c r="C119" s="17">
        <v>48</v>
      </c>
      <c r="D119">
        <f>VLOOKUP(A119,[1]导管成本!$B:$E,4,0)-C119</f>
        <v>0</v>
      </c>
    </row>
    <row r="120" spans="1:4" x14ac:dyDescent="0.25">
      <c r="A120" s="16" t="s">
        <v>95</v>
      </c>
      <c r="B120" s="17">
        <v>10</v>
      </c>
      <c r="C120" s="17">
        <v>30</v>
      </c>
      <c r="D120">
        <f>VLOOKUP(A120,[1]导管成本!$B:$E,4,0)-C120</f>
        <v>0</v>
      </c>
    </row>
    <row r="121" spans="1:4" x14ac:dyDescent="0.25">
      <c r="A121" s="16" t="s">
        <v>93</v>
      </c>
      <c r="B121" s="17">
        <v>10</v>
      </c>
      <c r="C121" s="17">
        <v>40</v>
      </c>
      <c r="D121">
        <f>VLOOKUP(A121,[1]导管成本!$B:$E,4,0)-C121</f>
        <v>0</v>
      </c>
    </row>
    <row r="122" spans="1:4" x14ac:dyDescent="0.25">
      <c r="A122" s="16" t="s">
        <v>345</v>
      </c>
      <c r="B122" s="17">
        <v>7</v>
      </c>
      <c r="C122" s="17">
        <v>21</v>
      </c>
      <c r="D122">
        <f>VLOOKUP(A122,[1]导管成本!$B:$E,4,0)-C122</f>
        <v>0</v>
      </c>
    </row>
    <row r="123" spans="1:4" x14ac:dyDescent="0.25">
      <c r="A123" s="16" t="s">
        <v>527</v>
      </c>
      <c r="B123" s="17">
        <v>21</v>
      </c>
      <c r="C123" s="17">
        <v>63</v>
      </c>
      <c r="D123">
        <f>VLOOKUP(A123,[1]导管成本!$B:$E,4,0)-C123</f>
        <v>0</v>
      </c>
    </row>
    <row r="124" spans="1:4" x14ac:dyDescent="0.25">
      <c r="A124" s="16" t="s">
        <v>61</v>
      </c>
      <c r="B124" s="17">
        <v>10</v>
      </c>
      <c r="C124" s="17">
        <v>30</v>
      </c>
      <c r="D124">
        <f>VLOOKUP(A124,[1]导管成本!$B:$E,4,0)-C124</f>
        <v>0</v>
      </c>
    </row>
    <row r="125" spans="1:4" x14ac:dyDescent="0.25">
      <c r="A125" s="16" t="s">
        <v>91</v>
      </c>
      <c r="B125" s="17">
        <v>10</v>
      </c>
      <c r="C125" s="17">
        <v>30</v>
      </c>
      <c r="D125">
        <f>VLOOKUP(A125,[1]导管成本!$B:$E,4,0)-C125</f>
        <v>0</v>
      </c>
    </row>
    <row r="126" spans="1:4" x14ac:dyDescent="0.25">
      <c r="A126" s="16" t="s">
        <v>506</v>
      </c>
      <c r="B126" s="17">
        <v>16</v>
      </c>
      <c r="C126" s="17">
        <v>48</v>
      </c>
      <c r="D126">
        <f>VLOOKUP(A126,[1]导管成本!$B:$E,4,0)-C126</f>
        <v>0</v>
      </c>
    </row>
    <row r="127" spans="1:4" x14ac:dyDescent="0.25">
      <c r="A127" s="16" t="s">
        <v>473</v>
      </c>
      <c r="B127" s="17">
        <v>5</v>
      </c>
      <c r="C127" s="17">
        <v>10</v>
      </c>
      <c r="D127">
        <f>VLOOKUP(A127,[1]导管成本!$B:$E,4,0)-C127</f>
        <v>0</v>
      </c>
    </row>
    <row r="128" spans="1:4" x14ac:dyDescent="0.25">
      <c r="A128" s="16" t="s">
        <v>531</v>
      </c>
      <c r="B128" s="17">
        <v>3</v>
      </c>
      <c r="C128" s="17">
        <v>27</v>
      </c>
      <c r="D128">
        <f>VLOOKUP(A128,[1]导管成本!$B:$E,4,0)-C128</f>
        <v>0</v>
      </c>
    </row>
    <row r="129" spans="1:4" x14ac:dyDescent="0.25">
      <c r="A129" s="16" t="s">
        <v>536</v>
      </c>
      <c r="B129" s="17">
        <v>4</v>
      </c>
      <c r="C129" s="17">
        <v>28</v>
      </c>
      <c r="D129">
        <f>VLOOKUP(A129,[1]导管成本!$B:$E,4,0)-C129</f>
        <v>0</v>
      </c>
    </row>
    <row r="130" spans="1:4" x14ac:dyDescent="0.25">
      <c r="A130" s="16" t="s">
        <v>214</v>
      </c>
      <c r="B130" s="17">
        <v>4</v>
      </c>
      <c r="C130" s="17">
        <v>96</v>
      </c>
      <c r="D130">
        <f>VLOOKUP(A130,[1]导管成本!$B:$E,4,0)-C130</f>
        <v>0</v>
      </c>
    </row>
    <row r="131" spans="1:4" x14ac:dyDescent="0.25">
      <c r="A131" s="16" t="s">
        <v>200</v>
      </c>
      <c r="B131" s="17">
        <v>12</v>
      </c>
      <c r="C131" s="17">
        <v>84</v>
      </c>
      <c r="D131">
        <f>VLOOKUP(A131,[1]导管成本!$B:$E,4,0)-C131</f>
        <v>0</v>
      </c>
    </row>
    <row r="132" spans="1:4" x14ac:dyDescent="0.25">
      <c r="A132" s="16" t="s">
        <v>322</v>
      </c>
      <c r="B132" s="17">
        <v>21</v>
      </c>
      <c r="C132" s="17">
        <v>63</v>
      </c>
      <c r="D132">
        <f>VLOOKUP(A132,[1]导管成本!$B:$E,4,0)-C132</f>
        <v>0</v>
      </c>
    </row>
    <row r="133" spans="1:4" x14ac:dyDescent="0.25">
      <c r="A133" s="16" t="s">
        <v>216</v>
      </c>
      <c r="B133" s="17">
        <v>2</v>
      </c>
      <c r="C133" s="17">
        <v>24</v>
      </c>
      <c r="D133">
        <f>VLOOKUP(A133,[1]导管成本!$B:$E,4,0)-C133</f>
        <v>0</v>
      </c>
    </row>
    <row r="134" spans="1:4" x14ac:dyDescent="0.25">
      <c r="A134" s="16" t="s">
        <v>192</v>
      </c>
      <c r="B134" s="17">
        <v>5</v>
      </c>
      <c r="C134" s="17">
        <v>35</v>
      </c>
      <c r="D134">
        <f>VLOOKUP(A134,[1]导管成本!$B:$E,4,0)-C134</f>
        <v>0</v>
      </c>
    </row>
    <row r="135" spans="1:4" x14ac:dyDescent="0.25">
      <c r="A135" s="16" t="s">
        <v>205</v>
      </c>
      <c r="B135" s="17">
        <v>10</v>
      </c>
      <c r="C135" s="17">
        <v>120</v>
      </c>
      <c r="D135">
        <f>VLOOKUP(A135,[1]导管成本!$B:$E,4,0)-C135</f>
        <v>0</v>
      </c>
    </row>
    <row r="136" spans="1:4" x14ac:dyDescent="0.25">
      <c r="A136" s="16" t="s">
        <v>226</v>
      </c>
      <c r="B136" s="17">
        <v>15</v>
      </c>
      <c r="C136" s="17">
        <v>150</v>
      </c>
      <c r="D136">
        <f>VLOOKUP(A136,[1]导管成本!$B:$E,4,0)-C136</f>
        <v>0</v>
      </c>
    </row>
    <row r="137" spans="1:4" x14ac:dyDescent="0.25">
      <c r="A137" s="16" t="s">
        <v>162</v>
      </c>
      <c r="B137" s="17">
        <v>12</v>
      </c>
      <c r="C137" s="17">
        <v>48</v>
      </c>
      <c r="D137">
        <f>VLOOKUP(A137,[1]导管成本!$B:$E,4,0)-C137</f>
        <v>0</v>
      </c>
    </row>
    <row r="138" spans="1:4" x14ac:dyDescent="0.25">
      <c r="A138" s="16" t="s">
        <v>163</v>
      </c>
      <c r="B138" s="17">
        <v>10</v>
      </c>
      <c r="C138" s="17">
        <v>41</v>
      </c>
      <c r="D138">
        <f>VLOOKUP(A138,[1]导管成本!$B:$E,4,0)-C138</f>
        <v>0</v>
      </c>
    </row>
    <row r="139" spans="1:4" x14ac:dyDescent="0.25">
      <c r="A139" s="16" t="s">
        <v>127</v>
      </c>
      <c r="B139" s="17">
        <v>2</v>
      </c>
      <c r="C139" s="17">
        <v>30.599999999999998</v>
      </c>
      <c r="D139">
        <f>VLOOKUP(A139,[1]导管成本!$B:$E,4,0)-C139</f>
        <v>0</v>
      </c>
    </row>
    <row r="140" spans="1:4" x14ac:dyDescent="0.25">
      <c r="A140" s="16" t="s">
        <v>184</v>
      </c>
      <c r="B140" s="17">
        <v>19</v>
      </c>
      <c r="C140" s="17">
        <v>114</v>
      </c>
      <c r="D140">
        <f>VLOOKUP(A140,[1]导管成本!$B:$E,4,0)-C140</f>
        <v>0</v>
      </c>
    </row>
    <row r="141" spans="1:4" x14ac:dyDescent="0.25">
      <c r="A141" s="16" t="s">
        <v>235</v>
      </c>
      <c r="B141" s="17">
        <v>20</v>
      </c>
      <c r="C141" s="17">
        <v>50</v>
      </c>
      <c r="D141">
        <f>VLOOKUP(A141,[1]导管成本!$B:$E,4,0)-C141</f>
        <v>0</v>
      </c>
    </row>
    <row r="142" spans="1:4" x14ac:dyDescent="0.25">
      <c r="A142" s="16" t="s">
        <v>464</v>
      </c>
      <c r="B142" s="17">
        <v>9</v>
      </c>
      <c r="C142" s="17">
        <v>31.5</v>
      </c>
      <c r="D142">
        <f>VLOOKUP(A142,[1]导管成本!$B:$E,4,0)-C142</f>
        <v>0</v>
      </c>
    </row>
    <row r="143" spans="1:4" x14ac:dyDescent="0.25">
      <c r="A143" s="16" t="s">
        <v>356</v>
      </c>
      <c r="B143" s="17">
        <v>9</v>
      </c>
      <c r="C143" s="17">
        <v>18</v>
      </c>
      <c r="D143">
        <f>VLOOKUP(A143,[1]导管成本!$B:$E,4,0)-C143</f>
        <v>0</v>
      </c>
    </row>
    <row r="144" spans="1:4" x14ac:dyDescent="0.25">
      <c r="A144" s="16" t="s">
        <v>103</v>
      </c>
      <c r="B144" s="17">
        <v>1</v>
      </c>
      <c r="C144" s="17">
        <v>9</v>
      </c>
      <c r="D144">
        <f>VLOOKUP(A144,[1]导管成本!$B:$E,4,0)-C144</f>
        <v>0</v>
      </c>
    </row>
    <row r="145" spans="1:4" x14ac:dyDescent="0.25">
      <c r="A145" s="16" t="s">
        <v>397</v>
      </c>
      <c r="B145" s="17">
        <v>18</v>
      </c>
      <c r="C145" s="17">
        <v>72</v>
      </c>
      <c r="D145">
        <f>VLOOKUP(A145,[1]导管成本!$B:$E,4,0)-C145</f>
        <v>0</v>
      </c>
    </row>
    <row r="146" spans="1:4" x14ac:dyDescent="0.25">
      <c r="A146" s="16" t="s">
        <v>354</v>
      </c>
      <c r="B146" s="17">
        <v>8</v>
      </c>
      <c r="C146" s="17">
        <v>24</v>
      </c>
      <c r="D146">
        <f>VLOOKUP(A146,[1]导管成本!$B:$E,4,0)-C146</f>
        <v>0</v>
      </c>
    </row>
    <row r="147" spans="1:4" x14ac:dyDescent="0.25">
      <c r="A147" s="16" t="s">
        <v>73</v>
      </c>
      <c r="B147" s="17">
        <v>24</v>
      </c>
      <c r="C147" s="17">
        <v>96</v>
      </c>
      <c r="D147">
        <f>VLOOKUP(A147,[1]导管成本!$B:$E,4,0)-C147</f>
        <v>0</v>
      </c>
    </row>
    <row r="148" spans="1:4" x14ac:dyDescent="0.25">
      <c r="A148" s="16" t="s">
        <v>467</v>
      </c>
      <c r="B148" s="17">
        <v>5</v>
      </c>
      <c r="C148" s="17">
        <v>10</v>
      </c>
      <c r="D148">
        <f>VLOOKUP(A148,[1]导管成本!$B:$E,4,0)-C148</f>
        <v>0</v>
      </c>
    </row>
    <row r="149" spans="1:4" x14ac:dyDescent="0.25">
      <c r="A149" s="16" t="s">
        <v>303</v>
      </c>
      <c r="B149" s="17">
        <v>8</v>
      </c>
      <c r="C149" s="17">
        <v>64</v>
      </c>
      <c r="D149">
        <f>VLOOKUP(A149,[1]导管成本!$B:$E,4,0)-C149</f>
        <v>0</v>
      </c>
    </row>
    <row r="150" spans="1:4" x14ac:dyDescent="0.25">
      <c r="A150" s="16" t="s">
        <v>227</v>
      </c>
      <c r="B150" s="17">
        <v>8</v>
      </c>
      <c r="C150" s="17">
        <v>54</v>
      </c>
      <c r="D150">
        <f>VLOOKUP(A150,[1]导管成本!$B:$E,4,0)-C150</f>
        <v>0</v>
      </c>
    </row>
    <row r="151" spans="1:4" x14ac:dyDescent="0.25">
      <c r="A151" s="16" t="s">
        <v>45</v>
      </c>
      <c r="B151" s="17">
        <v>12</v>
      </c>
      <c r="C151" s="17">
        <v>32</v>
      </c>
      <c r="D151">
        <f>VLOOKUP(A151,[1]导管成本!$B:$E,4,0)-C151</f>
        <v>0</v>
      </c>
    </row>
    <row r="152" spans="1:4" x14ac:dyDescent="0.25">
      <c r="A152" s="16" t="s">
        <v>360</v>
      </c>
      <c r="B152" s="17">
        <v>20</v>
      </c>
      <c r="C152" s="17">
        <v>80</v>
      </c>
      <c r="D152">
        <f>VLOOKUP(A152,[1]导管成本!$B:$E,4,0)-C152</f>
        <v>0</v>
      </c>
    </row>
    <row r="153" spans="1:4" x14ac:dyDescent="0.25">
      <c r="A153" s="16" t="s">
        <v>84</v>
      </c>
      <c r="B153" s="17">
        <v>2</v>
      </c>
      <c r="C153" s="17">
        <v>18</v>
      </c>
      <c r="D153">
        <f>VLOOKUP(A153,[1]导管成本!$B:$E,4,0)-C153</f>
        <v>0</v>
      </c>
    </row>
    <row r="154" spans="1:4" x14ac:dyDescent="0.25">
      <c r="A154" s="16" t="s">
        <v>437</v>
      </c>
      <c r="B154" s="17">
        <v>3</v>
      </c>
      <c r="C154" s="17">
        <v>31.5</v>
      </c>
      <c r="D154">
        <f>VLOOKUP(A154,[1]导管成本!$B:$E,4,0)-C154</f>
        <v>0</v>
      </c>
    </row>
    <row r="155" spans="1:4" x14ac:dyDescent="0.25">
      <c r="A155" s="16" t="s">
        <v>433</v>
      </c>
      <c r="B155" s="17">
        <v>2</v>
      </c>
      <c r="C155" s="17">
        <v>66</v>
      </c>
      <c r="D155">
        <f>VLOOKUP(A155,[1]导管成本!$B:$E,4,0)-C155</f>
        <v>0</v>
      </c>
    </row>
    <row r="156" spans="1:4" x14ac:dyDescent="0.25">
      <c r="A156" s="16" t="s">
        <v>29</v>
      </c>
      <c r="B156" s="17">
        <v>10</v>
      </c>
      <c r="C156" s="17">
        <v>30</v>
      </c>
      <c r="D156">
        <f>VLOOKUP(A156,[1]导管成本!$B:$E,4,0)-C156</f>
        <v>0</v>
      </c>
    </row>
    <row r="157" spans="1:4" x14ac:dyDescent="0.25">
      <c r="A157" s="16" t="s">
        <v>40</v>
      </c>
      <c r="B157" s="17">
        <v>6</v>
      </c>
      <c r="C157" s="17">
        <v>24</v>
      </c>
      <c r="D157">
        <f>VLOOKUP(A157,[1]导管成本!$B:$E,4,0)-C157</f>
        <v>0</v>
      </c>
    </row>
    <row r="158" spans="1:4" x14ac:dyDescent="0.25">
      <c r="A158" s="16" t="s">
        <v>359</v>
      </c>
      <c r="B158" s="17">
        <v>20</v>
      </c>
      <c r="C158" s="17">
        <v>50</v>
      </c>
      <c r="D158">
        <f>VLOOKUP(A158,[1]导管成本!$B:$E,4,0)-C158</f>
        <v>0</v>
      </c>
    </row>
    <row r="159" spans="1:4" x14ac:dyDescent="0.25">
      <c r="A159" s="16" t="s">
        <v>493</v>
      </c>
      <c r="B159" s="17">
        <v>8</v>
      </c>
      <c r="C159" s="17">
        <v>24</v>
      </c>
      <c r="D159">
        <f>VLOOKUP(A159,[1]导管成本!$B:$E,4,0)-C159</f>
        <v>0</v>
      </c>
    </row>
    <row r="160" spans="1:4" x14ac:dyDescent="0.25">
      <c r="A160" s="16" t="s">
        <v>234</v>
      </c>
      <c r="B160" s="17">
        <v>20</v>
      </c>
      <c r="C160" s="17">
        <v>40</v>
      </c>
      <c r="D160">
        <f>VLOOKUP(A160,[1]导管成本!$B:$E,4,0)-C160</f>
        <v>0</v>
      </c>
    </row>
    <row r="161" spans="1:4" x14ac:dyDescent="0.25">
      <c r="A161" s="16" t="s">
        <v>144</v>
      </c>
      <c r="B161" s="17">
        <v>2</v>
      </c>
      <c r="C161" s="17">
        <v>12</v>
      </c>
      <c r="D161">
        <f>VLOOKUP(A161,[1]导管成本!$B:$E,4,0)-C161</f>
        <v>0</v>
      </c>
    </row>
    <row r="162" spans="1:4" x14ac:dyDescent="0.25">
      <c r="A162" s="16" t="s">
        <v>435</v>
      </c>
      <c r="B162" s="17">
        <v>8</v>
      </c>
      <c r="C162" s="17">
        <v>16</v>
      </c>
      <c r="D162">
        <f>VLOOKUP(A162,[1]导管成本!$B:$E,4,0)-C162</f>
        <v>0</v>
      </c>
    </row>
    <row r="163" spans="1:4" x14ac:dyDescent="0.25">
      <c r="A163" s="16" t="s">
        <v>187</v>
      </c>
      <c r="B163" s="17">
        <v>19</v>
      </c>
      <c r="C163" s="17">
        <v>47.5</v>
      </c>
      <c r="D163">
        <f>VLOOKUP(A163,[1]导管成本!$B:$E,4,0)-C163</f>
        <v>0</v>
      </c>
    </row>
    <row r="164" spans="1:4" x14ac:dyDescent="0.25">
      <c r="A164" s="16" t="s">
        <v>236</v>
      </c>
      <c r="B164" s="17">
        <v>20</v>
      </c>
      <c r="C164" s="17">
        <v>50</v>
      </c>
      <c r="D164">
        <f>VLOOKUP(A164,[1]导管成本!$B:$E,4,0)-C164</f>
        <v>0</v>
      </c>
    </row>
    <row r="165" spans="1:4" x14ac:dyDescent="0.25">
      <c r="A165" s="16" t="s">
        <v>404</v>
      </c>
      <c r="B165" s="17">
        <v>7</v>
      </c>
      <c r="C165" s="17">
        <v>21</v>
      </c>
      <c r="D165">
        <f>VLOOKUP(A165,[1]导管成本!$B:$E,4,0)-C165</f>
        <v>0</v>
      </c>
    </row>
    <row r="166" spans="1:4" x14ac:dyDescent="0.25">
      <c r="A166" s="16" t="s">
        <v>494</v>
      </c>
      <c r="B166" s="17">
        <v>6</v>
      </c>
      <c r="C166" s="17">
        <v>18</v>
      </c>
      <c r="D166">
        <f>VLOOKUP(A166,[1]导管成本!$B:$E,4,0)-C166</f>
        <v>0</v>
      </c>
    </row>
    <row r="167" spans="1:4" x14ac:dyDescent="0.25">
      <c r="A167" s="16" t="s">
        <v>43</v>
      </c>
      <c r="B167" s="17">
        <v>23</v>
      </c>
      <c r="C167" s="17">
        <v>72.5</v>
      </c>
      <c r="D167">
        <f>VLOOKUP(A167,[1]导管成本!$B:$E,4,0)-C167</f>
        <v>0</v>
      </c>
    </row>
    <row r="168" spans="1:4" x14ac:dyDescent="0.25">
      <c r="A168" s="16" t="s">
        <v>180</v>
      </c>
      <c r="B168" s="17">
        <v>20</v>
      </c>
      <c r="C168" s="17">
        <v>40</v>
      </c>
      <c r="D168">
        <f>VLOOKUP(A168,[1]导管成本!$B:$E,4,0)-C168</f>
        <v>0</v>
      </c>
    </row>
    <row r="169" spans="1:4" x14ac:dyDescent="0.25">
      <c r="A169" s="16" t="s">
        <v>190</v>
      </c>
      <c r="B169" s="17">
        <v>10</v>
      </c>
      <c r="C169" s="17">
        <v>20</v>
      </c>
      <c r="D169">
        <f>VLOOKUP(A169,[1]导管成本!$B:$E,4,0)-C169</f>
        <v>0</v>
      </c>
    </row>
    <row r="170" spans="1:4" x14ac:dyDescent="0.25">
      <c r="A170" s="16" t="s">
        <v>440</v>
      </c>
      <c r="B170" s="17">
        <v>20</v>
      </c>
      <c r="C170" s="17">
        <v>80</v>
      </c>
      <c r="D170">
        <f>VLOOKUP(A170,[1]导管成本!$B:$E,4,0)-C170</f>
        <v>0</v>
      </c>
    </row>
    <row r="171" spans="1:4" x14ac:dyDescent="0.25">
      <c r="A171" s="16" t="s">
        <v>362</v>
      </c>
      <c r="B171" s="17">
        <v>10</v>
      </c>
      <c r="C171" s="17">
        <v>23</v>
      </c>
      <c r="D171">
        <f>VLOOKUP(A171,[1]导管成本!$B:$E,4,0)-C171</f>
        <v>0</v>
      </c>
    </row>
    <row r="172" spans="1:4" x14ac:dyDescent="0.25">
      <c r="A172" s="16" t="s">
        <v>365</v>
      </c>
      <c r="B172" s="17">
        <v>12</v>
      </c>
      <c r="C172" s="17">
        <v>30</v>
      </c>
      <c r="D172">
        <f>VLOOKUP(A172,[1]导管成本!$B:$E,4,0)-C172</f>
        <v>0</v>
      </c>
    </row>
    <row r="173" spans="1:4" x14ac:dyDescent="0.25">
      <c r="A173" s="16" t="s">
        <v>432</v>
      </c>
      <c r="B173" s="17">
        <v>10</v>
      </c>
      <c r="C173" s="17">
        <v>30</v>
      </c>
      <c r="D173">
        <f>VLOOKUP(A173,[1]导管成本!$B:$E,4,0)-C173</f>
        <v>0</v>
      </c>
    </row>
    <row r="174" spans="1:4" x14ac:dyDescent="0.25">
      <c r="A174" s="16" t="s">
        <v>181</v>
      </c>
      <c r="B174" s="17">
        <v>29</v>
      </c>
      <c r="C174" s="17">
        <v>122.5</v>
      </c>
      <c r="D174">
        <f>VLOOKUP(A174,[1]导管成本!$B:$E,4,0)-C174</f>
        <v>0</v>
      </c>
    </row>
    <row r="175" spans="1:4" x14ac:dyDescent="0.25">
      <c r="A175" s="16" t="s">
        <v>504</v>
      </c>
      <c r="B175" s="17">
        <v>9</v>
      </c>
      <c r="C175" s="17">
        <v>36</v>
      </c>
      <c r="D175">
        <f>VLOOKUP(A175,[1]导管成本!$B:$E,4,0)-C175</f>
        <v>0</v>
      </c>
    </row>
    <row r="176" spans="1:4" x14ac:dyDescent="0.25">
      <c r="A176" s="16" t="s">
        <v>132</v>
      </c>
      <c r="B176" s="17">
        <v>10</v>
      </c>
      <c r="C176" s="17">
        <v>60</v>
      </c>
      <c r="D176">
        <f>VLOOKUP(A176,[1]导管成本!$B:$E,4,0)-C176</f>
        <v>0</v>
      </c>
    </row>
    <row r="177" spans="1:4" x14ac:dyDescent="0.25">
      <c r="A177" s="16" t="s">
        <v>92</v>
      </c>
      <c r="B177" s="17">
        <v>8</v>
      </c>
      <c r="C177" s="17">
        <v>56</v>
      </c>
      <c r="D177">
        <f>VLOOKUP(A177,[1]导管成本!$B:$E,4,0)-C177</f>
        <v>0</v>
      </c>
    </row>
    <row r="178" spans="1:4" x14ac:dyDescent="0.25">
      <c r="A178" s="16" t="s">
        <v>441</v>
      </c>
      <c r="B178" s="17">
        <v>4</v>
      </c>
      <c r="C178" s="17">
        <v>10</v>
      </c>
      <c r="D178">
        <f>VLOOKUP(A178,[1]导管成本!$B:$E,4,0)-C178</f>
        <v>0</v>
      </c>
    </row>
    <row r="179" spans="1:4" x14ac:dyDescent="0.25">
      <c r="A179" s="16" t="s">
        <v>129</v>
      </c>
      <c r="B179" s="17">
        <v>11</v>
      </c>
      <c r="C179" s="17">
        <v>42.5</v>
      </c>
      <c r="D179">
        <f>VLOOKUP(A179,[1]导管成本!$B:$E,4,0)-C179</f>
        <v>0</v>
      </c>
    </row>
    <row r="180" spans="1:4" x14ac:dyDescent="0.25">
      <c r="A180" s="16" t="s">
        <v>136</v>
      </c>
      <c r="B180" s="17">
        <v>26</v>
      </c>
      <c r="C180" s="17">
        <v>65</v>
      </c>
      <c r="D180">
        <f>VLOOKUP(A180,[1]导管成本!$B:$E,4,0)-C180</f>
        <v>0</v>
      </c>
    </row>
    <row r="181" spans="1:4" x14ac:dyDescent="0.25">
      <c r="A181" s="16" t="s">
        <v>174</v>
      </c>
      <c r="B181" s="17">
        <v>8</v>
      </c>
      <c r="C181" s="17">
        <v>21</v>
      </c>
      <c r="D181">
        <f>VLOOKUP(A181,[1]导管成本!$B:$E,4,0)-C181</f>
        <v>0</v>
      </c>
    </row>
    <row r="182" spans="1:4" x14ac:dyDescent="0.25">
      <c r="A182" s="16" t="s">
        <v>20</v>
      </c>
      <c r="B182" s="17">
        <v>3</v>
      </c>
      <c r="C182" s="17">
        <v>31.5</v>
      </c>
      <c r="D182">
        <f>VLOOKUP(A182,[1]导管成本!$B:$E,4,0)-C182</f>
        <v>0</v>
      </c>
    </row>
    <row r="183" spans="1:4" x14ac:dyDescent="0.25">
      <c r="A183" s="16" t="s">
        <v>361</v>
      </c>
      <c r="B183" s="17">
        <v>16</v>
      </c>
      <c r="C183" s="17">
        <v>48</v>
      </c>
      <c r="D183">
        <f>VLOOKUP(A183,[1]导管成本!$B:$E,4,0)-C183</f>
        <v>0</v>
      </c>
    </row>
    <row r="184" spans="1:4" x14ac:dyDescent="0.25">
      <c r="A184" s="16" t="s">
        <v>444</v>
      </c>
      <c r="B184" s="17">
        <v>6</v>
      </c>
      <c r="C184" s="17">
        <v>21</v>
      </c>
      <c r="D184">
        <f>VLOOKUP(A184,[1]导管成本!$B:$E,4,0)-C184</f>
        <v>0</v>
      </c>
    </row>
    <row r="185" spans="1:4" x14ac:dyDescent="0.25">
      <c r="A185" s="16" t="s">
        <v>358</v>
      </c>
      <c r="B185" s="17">
        <v>5</v>
      </c>
      <c r="C185" s="17">
        <v>20</v>
      </c>
      <c r="D185">
        <f>VLOOKUP(A185,[1]导管成本!$B:$E,4,0)-C185</f>
        <v>0</v>
      </c>
    </row>
    <row r="186" spans="1:4" x14ac:dyDescent="0.25">
      <c r="A186" s="16" t="s">
        <v>209</v>
      </c>
      <c r="B186" s="17">
        <v>7</v>
      </c>
      <c r="C186" s="17">
        <v>24.5</v>
      </c>
      <c r="D186">
        <f>VLOOKUP(A186,[1]导管成本!$B:$E,4,0)-C186</f>
        <v>0</v>
      </c>
    </row>
    <row r="187" spans="1:4" x14ac:dyDescent="0.25">
      <c r="A187" s="16" t="s">
        <v>140</v>
      </c>
      <c r="B187" s="17">
        <v>3</v>
      </c>
      <c r="C187" s="17">
        <v>22.5</v>
      </c>
      <c r="D187">
        <f>VLOOKUP(A187,[1]导管成本!$B:$E,4,0)-C187</f>
        <v>0</v>
      </c>
    </row>
    <row r="188" spans="1:4" x14ac:dyDescent="0.25">
      <c r="A188" s="16" t="s">
        <v>87</v>
      </c>
      <c r="B188" s="17">
        <v>20</v>
      </c>
      <c r="C188" s="17">
        <v>72</v>
      </c>
      <c r="D188">
        <f>VLOOKUP(A188,[1]导管成本!$B:$E,4,0)-C188</f>
        <v>0</v>
      </c>
    </row>
    <row r="189" spans="1:4" x14ac:dyDescent="0.25">
      <c r="A189" s="16" t="s">
        <v>446</v>
      </c>
      <c r="B189" s="17">
        <v>6</v>
      </c>
      <c r="C189" s="17">
        <v>18</v>
      </c>
      <c r="D189">
        <f>VLOOKUP(A189,[1]导管成本!$B:$E,4,0)-C189</f>
        <v>0</v>
      </c>
    </row>
    <row r="190" spans="1:4" x14ac:dyDescent="0.25">
      <c r="A190" s="16" t="s">
        <v>447</v>
      </c>
      <c r="B190" s="17">
        <v>8</v>
      </c>
      <c r="C190" s="17">
        <v>16</v>
      </c>
      <c r="D190">
        <f>VLOOKUP(A190,[1]导管成本!$B:$E,4,0)-C190</f>
        <v>0</v>
      </c>
    </row>
    <row r="191" spans="1:4" x14ac:dyDescent="0.25">
      <c r="A191" s="16" t="s">
        <v>544</v>
      </c>
      <c r="B191" s="17">
        <v>1</v>
      </c>
      <c r="C191" s="17">
        <v>2</v>
      </c>
      <c r="D191">
        <f>VLOOKUP(A191,[1]导管成本!$B:$E,4,0)-C191</f>
        <v>0</v>
      </c>
    </row>
    <row r="192" spans="1:4" x14ac:dyDescent="0.25">
      <c r="A192" s="16" t="s">
        <v>450</v>
      </c>
      <c r="B192" s="17">
        <v>8</v>
      </c>
      <c r="C192" s="17">
        <v>16.8</v>
      </c>
      <c r="D192">
        <f>VLOOKUP(A192,[1]导管成本!$B:$E,4,0)-C192</f>
        <v>0</v>
      </c>
    </row>
    <row r="193" spans="1:4" x14ac:dyDescent="0.25">
      <c r="A193" s="16" t="s">
        <v>166</v>
      </c>
      <c r="B193" s="17">
        <v>8</v>
      </c>
      <c r="C193" s="17">
        <v>48</v>
      </c>
      <c r="D193">
        <f>VLOOKUP(A193,[1]导管成本!$B:$E,4,0)-C193</f>
        <v>0</v>
      </c>
    </row>
    <row r="194" spans="1:4" x14ac:dyDescent="0.25">
      <c r="A194" s="16" t="s">
        <v>164</v>
      </c>
      <c r="B194" s="17">
        <v>8</v>
      </c>
      <c r="C194" s="17">
        <v>40</v>
      </c>
      <c r="D194">
        <f>VLOOKUP(A194,[1]导管成本!$B:$E,4,0)-C194</f>
        <v>0</v>
      </c>
    </row>
    <row r="195" spans="1:4" x14ac:dyDescent="0.25">
      <c r="A195" s="16" t="s">
        <v>369</v>
      </c>
      <c r="B195" s="17">
        <v>20</v>
      </c>
      <c r="C195" s="17">
        <v>40</v>
      </c>
      <c r="D195">
        <f>VLOOKUP(A195,[1]导管成本!$B:$E,4,0)-C195</f>
        <v>0</v>
      </c>
    </row>
    <row r="196" spans="1:4" x14ac:dyDescent="0.25">
      <c r="A196" s="16" t="s">
        <v>431</v>
      </c>
      <c r="B196" s="17">
        <v>10</v>
      </c>
      <c r="C196" s="17">
        <v>30</v>
      </c>
      <c r="D196">
        <f>VLOOKUP(A196,[1]导管成本!$B:$E,4,0)-C196</f>
        <v>0</v>
      </c>
    </row>
    <row r="197" spans="1:4" x14ac:dyDescent="0.25">
      <c r="A197" s="16" t="s">
        <v>455</v>
      </c>
      <c r="B197" s="17">
        <v>4</v>
      </c>
      <c r="C197" s="17">
        <v>16</v>
      </c>
      <c r="D197">
        <f>VLOOKUP(A197,[1]导管成本!$B:$E,4,0)-C197</f>
        <v>0</v>
      </c>
    </row>
    <row r="198" spans="1:4" x14ac:dyDescent="0.25">
      <c r="A198" s="16" t="s">
        <v>465</v>
      </c>
      <c r="B198" s="17">
        <v>28</v>
      </c>
      <c r="C198" s="17">
        <v>98</v>
      </c>
      <c r="D198">
        <f>VLOOKUP(A198,[1]导管成本!$B:$E,4,0)-C198</f>
        <v>0</v>
      </c>
    </row>
    <row r="199" spans="1:4" x14ac:dyDescent="0.25">
      <c r="A199" s="16" t="s">
        <v>146</v>
      </c>
      <c r="B199" s="17">
        <v>9</v>
      </c>
      <c r="C199" s="17">
        <v>27</v>
      </c>
      <c r="D199">
        <f>VLOOKUP(A199,[1]导管成本!$B:$E,4,0)-C199</f>
        <v>0</v>
      </c>
    </row>
    <row r="200" spans="1:4" x14ac:dyDescent="0.25">
      <c r="A200" s="16" t="s">
        <v>212</v>
      </c>
      <c r="B200" s="17">
        <v>10</v>
      </c>
      <c r="C200" s="17">
        <v>25</v>
      </c>
      <c r="D200">
        <f>VLOOKUP(A200,[1]导管成本!$B:$E,4,0)-C200</f>
        <v>0</v>
      </c>
    </row>
    <row r="201" spans="1:4" x14ac:dyDescent="0.25">
      <c r="A201" s="16" t="s">
        <v>232</v>
      </c>
      <c r="B201" s="17">
        <v>8</v>
      </c>
      <c r="C201" s="17">
        <v>32</v>
      </c>
      <c r="D201">
        <f>VLOOKUP(A201,[1]导管成本!$B:$E,4,0)-C201</f>
        <v>0</v>
      </c>
    </row>
    <row r="202" spans="1:4" x14ac:dyDescent="0.25">
      <c r="A202" s="16" t="s">
        <v>451</v>
      </c>
      <c r="B202" s="17">
        <v>8</v>
      </c>
      <c r="C202" s="17">
        <v>24</v>
      </c>
      <c r="D202">
        <f>VLOOKUP(A202,[1]导管成本!$B:$E,4,0)-C202</f>
        <v>0</v>
      </c>
    </row>
    <row r="203" spans="1:4" x14ac:dyDescent="0.25">
      <c r="A203" s="16" t="s">
        <v>452</v>
      </c>
      <c r="B203" s="17">
        <v>6</v>
      </c>
      <c r="C203" s="17">
        <v>15</v>
      </c>
      <c r="D203">
        <f>VLOOKUP(A203,[1]导管成本!$B:$E,4,0)-C203</f>
        <v>0</v>
      </c>
    </row>
    <row r="204" spans="1:4" x14ac:dyDescent="0.25">
      <c r="A204" s="16" t="s">
        <v>386</v>
      </c>
      <c r="B204" s="17">
        <v>8</v>
      </c>
      <c r="C204" s="17">
        <v>48</v>
      </c>
      <c r="D204">
        <f>VLOOKUP(A204,[1]导管成本!$B:$E,4,0)-C204</f>
        <v>0</v>
      </c>
    </row>
    <row r="205" spans="1:4" x14ac:dyDescent="0.25">
      <c r="A205" s="16" t="s">
        <v>208</v>
      </c>
      <c r="B205" s="17">
        <v>8</v>
      </c>
      <c r="C205" s="17">
        <v>24</v>
      </c>
      <c r="D205">
        <f>VLOOKUP(A205,[1]导管成本!$B:$E,4,0)-C205</f>
        <v>0</v>
      </c>
    </row>
    <row r="206" spans="1:4" x14ac:dyDescent="0.25">
      <c r="A206" s="16" t="s">
        <v>213</v>
      </c>
      <c r="B206" s="17">
        <v>8</v>
      </c>
      <c r="C206" s="17">
        <v>24</v>
      </c>
      <c r="D206">
        <f>VLOOKUP(A206,[1]导管成本!$B:$E,4,0)-C206</f>
        <v>0</v>
      </c>
    </row>
    <row r="207" spans="1:4" x14ac:dyDescent="0.25">
      <c r="A207" s="16" t="s">
        <v>466</v>
      </c>
      <c r="B207" s="17">
        <v>5</v>
      </c>
      <c r="C207" s="17">
        <v>10</v>
      </c>
      <c r="D207">
        <f>VLOOKUP(A207,[1]导管成本!$B:$E,4,0)-C207</f>
        <v>0</v>
      </c>
    </row>
    <row r="208" spans="1:4" x14ac:dyDescent="0.25">
      <c r="A208" s="16" t="s">
        <v>454</v>
      </c>
      <c r="B208" s="17">
        <v>3</v>
      </c>
      <c r="C208" s="17">
        <v>18</v>
      </c>
      <c r="D208">
        <f>VLOOKUP(A208,[1]导管成本!$B:$E,4,0)-C208</f>
        <v>0</v>
      </c>
    </row>
    <row r="209" spans="1:4" x14ac:dyDescent="0.25">
      <c r="A209" s="16" t="s">
        <v>157</v>
      </c>
      <c r="B209" s="17">
        <v>12</v>
      </c>
      <c r="C209" s="17">
        <v>30</v>
      </c>
      <c r="D209">
        <f>VLOOKUP(A209,[1]导管成本!$B:$E,4,0)-C209</f>
        <v>0</v>
      </c>
    </row>
    <row r="210" spans="1:4" x14ac:dyDescent="0.25">
      <c r="A210" s="16" t="s">
        <v>133</v>
      </c>
      <c r="B210" s="17">
        <v>20</v>
      </c>
      <c r="C210" s="17">
        <v>40</v>
      </c>
      <c r="D210">
        <f>VLOOKUP(A210,[1]导管成本!$B:$E,4,0)-C210</f>
        <v>0</v>
      </c>
    </row>
    <row r="211" spans="1:4" x14ac:dyDescent="0.25">
      <c r="A211" s="16" t="s">
        <v>230</v>
      </c>
      <c r="B211" s="17">
        <v>11</v>
      </c>
      <c r="C211" s="17">
        <v>68</v>
      </c>
      <c r="D211">
        <f>VLOOKUP(A211,[1]导管成本!$B:$E,4,0)-C211</f>
        <v>0</v>
      </c>
    </row>
    <row r="212" spans="1:4" x14ac:dyDescent="0.25">
      <c r="A212" s="16" t="s">
        <v>261</v>
      </c>
      <c r="B212" s="17">
        <v>6</v>
      </c>
      <c r="C212" s="17">
        <v>18</v>
      </c>
      <c r="D212">
        <f>VLOOKUP(A212,[1]导管成本!$B:$E,4,0)-C212</f>
        <v>0</v>
      </c>
    </row>
    <row r="213" spans="1:4" x14ac:dyDescent="0.25">
      <c r="A213" s="16" t="s">
        <v>352</v>
      </c>
      <c r="B213" s="17">
        <v>8</v>
      </c>
      <c r="C213" s="17">
        <v>32</v>
      </c>
      <c r="D213">
        <f>VLOOKUP(A213,[1]导管成本!$B:$E,4,0)-C213</f>
        <v>0</v>
      </c>
    </row>
    <row r="214" spans="1:4" x14ac:dyDescent="0.25">
      <c r="A214" s="16" t="s">
        <v>373</v>
      </c>
      <c r="B214" s="17">
        <v>3</v>
      </c>
      <c r="C214" s="17">
        <v>72</v>
      </c>
      <c r="D214">
        <f>VLOOKUP(A214,[1]导管成本!$B:$E,4,0)-C214</f>
        <v>0</v>
      </c>
    </row>
    <row r="215" spans="1:4" x14ac:dyDescent="0.25">
      <c r="A215" s="16" t="s">
        <v>339</v>
      </c>
      <c r="B215" s="17">
        <v>2</v>
      </c>
      <c r="C215" s="17">
        <v>18</v>
      </c>
      <c r="D215">
        <f>VLOOKUP(A215,[1]导管成本!$B:$E,4,0)-C215</f>
        <v>0</v>
      </c>
    </row>
    <row r="216" spans="1:4" x14ac:dyDescent="0.25">
      <c r="A216" s="16" t="s">
        <v>351</v>
      </c>
      <c r="B216" s="17">
        <v>8</v>
      </c>
      <c r="C216" s="17">
        <v>28</v>
      </c>
      <c r="D216">
        <f>VLOOKUP(A216,[1]导管成本!$B:$E,4,0)-C216</f>
        <v>0</v>
      </c>
    </row>
    <row r="217" spans="1:4" x14ac:dyDescent="0.25">
      <c r="A217" s="16" t="s">
        <v>301</v>
      </c>
      <c r="B217" s="17">
        <v>5</v>
      </c>
      <c r="C217" s="17">
        <v>80</v>
      </c>
      <c r="D217">
        <f>VLOOKUP(A217,[1]导管成本!$B:$E,4,0)-C217</f>
        <v>0</v>
      </c>
    </row>
    <row r="218" spans="1:4" x14ac:dyDescent="0.25">
      <c r="A218" s="16" t="s">
        <v>372</v>
      </c>
      <c r="B218" s="17">
        <v>9</v>
      </c>
      <c r="C218" s="17">
        <v>54</v>
      </c>
      <c r="D218">
        <f>VLOOKUP(A218,[1]导管成本!$B:$E,4,0)-C218</f>
        <v>0</v>
      </c>
    </row>
    <row r="219" spans="1:4" x14ac:dyDescent="0.25">
      <c r="A219" s="16" t="s">
        <v>353</v>
      </c>
      <c r="B219" s="17">
        <v>15</v>
      </c>
      <c r="C219" s="17">
        <v>60</v>
      </c>
      <c r="D219">
        <f>VLOOKUP(A219,[1]导管成本!$B:$E,4,0)-C219</f>
        <v>0</v>
      </c>
    </row>
    <row r="220" spans="1:4" x14ac:dyDescent="0.25">
      <c r="A220" s="16" t="s">
        <v>448</v>
      </c>
      <c r="B220" s="17">
        <v>12</v>
      </c>
      <c r="C220" s="17">
        <v>60</v>
      </c>
      <c r="D220">
        <f>VLOOKUP(A220,[1]导管成本!$B:$E,4,0)-C220</f>
        <v>0</v>
      </c>
    </row>
    <row r="221" spans="1:4" x14ac:dyDescent="0.25">
      <c r="A221" s="16" t="s">
        <v>245</v>
      </c>
      <c r="B221" s="17">
        <v>13</v>
      </c>
      <c r="C221" s="17">
        <v>32.5</v>
      </c>
      <c r="D221">
        <f>VLOOKUP(A221,[1]导管成本!$B:$E,4,0)-C221</f>
        <v>0</v>
      </c>
    </row>
    <row r="222" spans="1:4" x14ac:dyDescent="0.25">
      <c r="A222" s="16" t="s">
        <v>305</v>
      </c>
      <c r="B222" s="17">
        <v>4</v>
      </c>
      <c r="C222" s="17">
        <v>12</v>
      </c>
      <c r="D222">
        <f>VLOOKUP(A222,[1]导管成本!$B:$E,4,0)-C222</f>
        <v>0</v>
      </c>
    </row>
    <row r="223" spans="1:4" x14ac:dyDescent="0.25">
      <c r="A223" s="16" t="s">
        <v>522</v>
      </c>
      <c r="B223" s="17">
        <v>6</v>
      </c>
      <c r="C223" s="17">
        <v>30</v>
      </c>
      <c r="D223">
        <f>VLOOKUP(A223,[1]导管成本!$B:$E,4,0)-C223</f>
        <v>0</v>
      </c>
    </row>
    <row r="224" spans="1:4" x14ac:dyDescent="0.25">
      <c r="A224" s="16" t="s">
        <v>337</v>
      </c>
      <c r="B224" s="17">
        <v>8</v>
      </c>
      <c r="C224" s="17">
        <v>180</v>
      </c>
      <c r="D224">
        <f>VLOOKUP(A224,[1]导管成本!$B:$E,4,0)-C224</f>
        <v>0</v>
      </c>
    </row>
    <row r="225" spans="1:4" x14ac:dyDescent="0.25">
      <c r="A225" s="16" t="s">
        <v>481</v>
      </c>
      <c r="B225" s="17">
        <v>4</v>
      </c>
      <c r="C225" s="17">
        <v>60</v>
      </c>
      <c r="D225">
        <f>VLOOKUP(A225,[1]导管成本!$B:$E,4,0)-C225</f>
        <v>0</v>
      </c>
    </row>
    <row r="226" spans="1:4" x14ac:dyDescent="0.25">
      <c r="A226" s="16" t="s">
        <v>263</v>
      </c>
      <c r="B226" s="17">
        <v>13</v>
      </c>
      <c r="C226" s="17">
        <v>52</v>
      </c>
      <c r="D226">
        <f>VLOOKUP(A226,[1]导管成本!$B:$E,4,0)-C226</f>
        <v>0</v>
      </c>
    </row>
    <row r="227" spans="1:4" x14ac:dyDescent="0.25">
      <c r="A227" s="16" t="s">
        <v>247</v>
      </c>
      <c r="B227" s="17">
        <v>10</v>
      </c>
      <c r="C227" s="17">
        <v>30</v>
      </c>
      <c r="D227">
        <f>VLOOKUP(A227,[1]导管成本!$B:$E,4,0)-C227</f>
        <v>0</v>
      </c>
    </row>
    <row r="228" spans="1:4" x14ac:dyDescent="0.25">
      <c r="A228" s="16" t="s">
        <v>265</v>
      </c>
      <c r="B228" s="17">
        <v>11</v>
      </c>
      <c r="C228" s="17">
        <v>121</v>
      </c>
      <c r="D228">
        <f>VLOOKUP(A228,[1]导管成本!$B:$E,4,0)-C228</f>
        <v>0</v>
      </c>
    </row>
    <row r="229" spans="1:4" x14ac:dyDescent="0.25">
      <c r="A229" s="16" t="s">
        <v>279</v>
      </c>
      <c r="B229" s="17">
        <v>11</v>
      </c>
      <c r="C229" s="17">
        <v>110</v>
      </c>
      <c r="D229">
        <f>VLOOKUP(A229,[1]导管成本!$B:$E,4,0)-C229</f>
        <v>0</v>
      </c>
    </row>
    <row r="230" spans="1:4" x14ac:dyDescent="0.25">
      <c r="A230" s="16" t="s">
        <v>259</v>
      </c>
      <c r="B230" s="17">
        <v>3</v>
      </c>
      <c r="C230" s="17">
        <v>108</v>
      </c>
      <c r="D230">
        <f>VLOOKUP(A230,[1]导管成本!$B:$E,4,0)-C230</f>
        <v>0</v>
      </c>
    </row>
    <row r="231" spans="1:4" x14ac:dyDescent="0.25">
      <c r="A231" s="16" t="s">
        <v>242</v>
      </c>
      <c r="B231" s="17">
        <v>8</v>
      </c>
      <c r="C231" s="17">
        <v>40</v>
      </c>
      <c r="D231">
        <f>VLOOKUP(A231,[1]导管成本!$B:$E,4,0)-C231</f>
        <v>0</v>
      </c>
    </row>
    <row r="232" spans="1:4" x14ac:dyDescent="0.25">
      <c r="A232" s="16" t="s">
        <v>370</v>
      </c>
      <c r="B232" s="17">
        <v>12</v>
      </c>
      <c r="C232" s="17">
        <v>60</v>
      </c>
      <c r="D232">
        <f>VLOOKUP(A232,[1]导管成本!$B:$E,4,0)-C232</f>
        <v>0</v>
      </c>
    </row>
    <row r="233" spans="1:4" x14ac:dyDescent="0.25">
      <c r="A233" s="16" t="s">
        <v>421</v>
      </c>
      <c r="B233" s="17">
        <v>18</v>
      </c>
      <c r="C233" s="17">
        <v>114</v>
      </c>
      <c r="D233">
        <f>VLOOKUP(A233,[1]导管成本!$B:$E,4,0)-C233</f>
        <v>0</v>
      </c>
    </row>
    <row r="234" spans="1:4" x14ac:dyDescent="0.25">
      <c r="A234" s="16" t="s">
        <v>367</v>
      </c>
      <c r="B234" s="17">
        <v>4</v>
      </c>
      <c r="C234" s="17">
        <v>48</v>
      </c>
      <c r="D234">
        <f>VLOOKUP(A234,[1]导管成本!$B:$E,4,0)-C234</f>
        <v>0</v>
      </c>
    </row>
    <row r="235" spans="1:4" x14ac:dyDescent="0.25">
      <c r="A235" s="16" t="s">
        <v>82</v>
      </c>
      <c r="B235" s="17">
        <v>2</v>
      </c>
      <c r="C235" s="17">
        <v>48</v>
      </c>
      <c r="D235">
        <f>VLOOKUP(A235,[1]导管成本!$B:$E,4,0)-C235</f>
        <v>0</v>
      </c>
    </row>
    <row r="236" spans="1:4" x14ac:dyDescent="0.25">
      <c r="A236" s="16" t="s">
        <v>80</v>
      </c>
      <c r="B236" s="17">
        <v>6</v>
      </c>
      <c r="C236" s="17">
        <v>42</v>
      </c>
      <c r="D236">
        <f>VLOOKUP(A236,[1]导管成本!$B:$E,4,0)-C236</f>
        <v>0</v>
      </c>
    </row>
    <row r="237" spans="1:4" x14ac:dyDescent="0.25">
      <c r="A237" s="16" t="s">
        <v>503</v>
      </c>
      <c r="B237" s="17">
        <v>7</v>
      </c>
      <c r="C237" s="17">
        <v>35</v>
      </c>
      <c r="D237">
        <f>VLOOKUP(A237,[1]导管成本!$B:$E,4,0)-C237</f>
        <v>0</v>
      </c>
    </row>
    <row r="238" spans="1:4" x14ac:dyDescent="0.25">
      <c r="A238" s="16" t="s">
        <v>138</v>
      </c>
      <c r="B238" s="17">
        <v>8</v>
      </c>
      <c r="C238" s="17">
        <v>42</v>
      </c>
      <c r="D238">
        <f>VLOOKUP(A238,[1]导管成本!$B:$E,4,0)-C238</f>
        <v>0</v>
      </c>
    </row>
    <row r="239" spans="1:4" x14ac:dyDescent="0.25">
      <c r="A239" s="16" t="s">
        <v>489</v>
      </c>
      <c r="B239" s="17">
        <v>8</v>
      </c>
      <c r="C239" s="17">
        <v>20</v>
      </c>
      <c r="D239">
        <f>VLOOKUP(A239,[1]导管成本!$B:$E,4,0)-C239</f>
        <v>0</v>
      </c>
    </row>
    <row r="240" spans="1:4" x14ac:dyDescent="0.25">
      <c r="A240" s="16" t="s">
        <v>496</v>
      </c>
      <c r="B240" s="17">
        <v>7</v>
      </c>
      <c r="C240" s="17">
        <v>22.400000000000002</v>
      </c>
      <c r="D240">
        <f>VLOOKUP(A240,[1]导管成本!$B:$E,4,0)-C240</f>
        <v>0</v>
      </c>
    </row>
    <row r="241" spans="1:4" x14ac:dyDescent="0.25">
      <c r="A241" s="16" t="s">
        <v>483</v>
      </c>
      <c r="B241" s="17">
        <v>6</v>
      </c>
      <c r="C241" s="17">
        <v>60</v>
      </c>
      <c r="D241">
        <f>VLOOKUP(A241,[1]导管成本!$B:$E,4,0)-C241</f>
        <v>0</v>
      </c>
    </row>
    <row r="242" spans="1:4" x14ac:dyDescent="0.25">
      <c r="A242" s="16" t="s">
        <v>488</v>
      </c>
      <c r="B242" s="17">
        <v>8</v>
      </c>
      <c r="C242" s="17">
        <v>28</v>
      </c>
      <c r="D242">
        <f>VLOOKUP(A242,[1]导管成本!$B:$E,4,0)-C242</f>
        <v>0</v>
      </c>
    </row>
    <row r="243" spans="1:4" x14ac:dyDescent="0.25">
      <c r="A243" s="16" t="s">
        <v>229</v>
      </c>
      <c r="B243" s="17">
        <v>8</v>
      </c>
      <c r="C243" s="17">
        <v>32</v>
      </c>
      <c r="D243">
        <f>VLOOKUP(A243,[1]导管成本!$B:$E,4,0)-C243</f>
        <v>0</v>
      </c>
    </row>
    <row r="244" spans="1:4" x14ac:dyDescent="0.25">
      <c r="A244" s="16" t="s">
        <v>422</v>
      </c>
      <c r="B244" s="17">
        <v>8</v>
      </c>
      <c r="C244" s="17">
        <v>24</v>
      </c>
      <c r="D244">
        <f>VLOOKUP(A244,[1]导管成本!$B:$E,4,0)-C244</f>
        <v>0</v>
      </c>
    </row>
    <row r="245" spans="1:4" x14ac:dyDescent="0.25">
      <c r="A245" s="16" t="s">
        <v>280</v>
      </c>
      <c r="B245" s="17">
        <v>8</v>
      </c>
      <c r="C245" s="17">
        <v>24</v>
      </c>
      <c r="D245">
        <f>VLOOKUP(A245,[1]导管成本!$B:$E,4,0)-C245</f>
        <v>0</v>
      </c>
    </row>
    <row r="246" spans="1:4" x14ac:dyDescent="0.25">
      <c r="A246" s="16" t="s">
        <v>338</v>
      </c>
      <c r="B246" s="17">
        <v>8</v>
      </c>
      <c r="C246" s="17">
        <v>16</v>
      </c>
      <c r="D246">
        <f>VLOOKUP(A246,[1]导管成本!$B:$E,4,0)-C246</f>
        <v>0</v>
      </c>
    </row>
    <row r="247" spans="1:4" x14ac:dyDescent="0.25">
      <c r="A247" s="16" t="s">
        <v>47</v>
      </c>
      <c r="B247" s="17">
        <v>8</v>
      </c>
      <c r="C247" s="17">
        <v>32</v>
      </c>
      <c r="D247">
        <f>VLOOKUP(A247,[1]导管成本!$B:$E,4,0)-C247</f>
        <v>0</v>
      </c>
    </row>
    <row r="248" spans="1:4" x14ac:dyDescent="0.25">
      <c r="A248" s="16" t="s">
        <v>486</v>
      </c>
      <c r="B248" s="17">
        <v>8</v>
      </c>
      <c r="C248" s="17">
        <v>16</v>
      </c>
      <c r="D248">
        <f>VLOOKUP(A248,[1]导管成本!$B:$E,4,0)-C248</f>
        <v>0</v>
      </c>
    </row>
    <row r="249" spans="1:4" x14ac:dyDescent="0.25">
      <c r="A249" s="16" t="s">
        <v>156</v>
      </c>
      <c r="B249" s="17">
        <v>8</v>
      </c>
      <c r="C249" s="17">
        <v>24</v>
      </c>
      <c r="D249">
        <f>VLOOKUP(A249,[1]导管成本!$B:$E,4,0)-C249</f>
        <v>0</v>
      </c>
    </row>
    <row r="250" spans="1:4" x14ac:dyDescent="0.25">
      <c r="A250" s="16" t="s">
        <v>159</v>
      </c>
      <c r="B250" s="17">
        <v>8</v>
      </c>
      <c r="C250" s="17">
        <v>24</v>
      </c>
      <c r="D250">
        <f>VLOOKUP(A250,[1]导管成本!$B:$E,4,0)-C250</f>
        <v>0</v>
      </c>
    </row>
    <row r="251" spans="1:4" x14ac:dyDescent="0.25">
      <c r="A251" s="16" t="s">
        <v>307</v>
      </c>
      <c r="B251" s="17">
        <v>4</v>
      </c>
      <c r="C251" s="17">
        <v>12</v>
      </c>
      <c r="D251">
        <f>VLOOKUP(A251,[1]导管成本!$B:$E,4,0)-C251</f>
        <v>0</v>
      </c>
    </row>
    <row r="252" spans="1:4" x14ac:dyDescent="0.25">
      <c r="A252" s="16" t="s">
        <v>278</v>
      </c>
      <c r="B252" s="17">
        <v>8</v>
      </c>
      <c r="C252" s="17">
        <v>80</v>
      </c>
      <c r="D252">
        <f>VLOOKUP(A252,[1]导管成本!$B:$E,4,0)-C252</f>
        <v>0</v>
      </c>
    </row>
    <row r="253" spans="1:4" x14ac:dyDescent="0.25">
      <c r="A253" s="16" t="s">
        <v>510</v>
      </c>
      <c r="B253" s="17">
        <v>8</v>
      </c>
      <c r="C253" s="17">
        <v>96</v>
      </c>
      <c r="D253">
        <f>VLOOKUP(A253,[1]导管成本!$B:$E,4,0)-C253</f>
        <v>0</v>
      </c>
    </row>
    <row r="254" spans="1:4" x14ac:dyDescent="0.25">
      <c r="A254" s="16" t="s">
        <v>341</v>
      </c>
      <c r="B254" s="17">
        <v>4</v>
      </c>
      <c r="C254" s="17">
        <v>24</v>
      </c>
      <c r="D254">
        <f>VLOOKUP(A254,[1]导管成本!$B:$E,4,0)-C254</f>
        <v>0</v>
      </c>
    </row>
    <row r="255" spans="1:4" x14ac:dyDescent="0.25">
      <c r="A255" s="16" t="s">
        <v>374</v>
      </c>
      <c r="B255" s="17">
        <v>1</v>
      </c>
      <c r="C255" s="17">
        <v>12</v>
      </c>
      <c r="D255">
        <f>VLOOKUP(A255,[1]导管成本!$B:$E,4,0)-C255</f>
        <v>0</v>
      </c>
    </row>
    <row r="256" spans="1:4" x14ac:dyDescent="0.25">
      <c r="A256" s="16" t="s">
        <v>384</v>
      </c>
      <c r="B256" s="17">
        <v>8</v>
      </c>
      <c r="C256" s="17">
        <v>24</v>
      </c>
      <c r="D256">
        <f>VLOOKUP(A256,[1]导管成本!$B:$E,4,0)-C256</f>
        <v>0</v>
      </c>
    </row>
    <row r="257" spans="1:4" x14ac:dyDescent="0.25">
      <c r="A257" s="16" t="s">
        <v>152</v>
      </c>
      <c r="B257" s="17">
        <v>1</v>
      </c>
      <c r="C257" s="17">
        <v>30</v>
      </c>
      <c r="D257">
        <f>VLOOKUP(A257,[1]导管成本!$B:$E,4,0)-C257</f>
        <v>0</v>
      </c>
    </row>
    <row r="258" spans="1:4" x14ac:dyDescent="0.25">
      <c r="A258" s="16" t="s">
        <v>148</v>
      </c>
      <c r="B258" s="17">
        <v>4</v>
      </c>
      <c r="C258" s="17">
        <v>20</v>
      </c>
      <c r="D258">
        <f>VLOOKUP(A258,[1]导管成本!$B:$E,4,0)-C258</f>
        <v>0</v>
      </c>
    </row>
    <row r="259" spans="1:4" x14ac:dyDescent="0.25">
      <c r="A259" s="16" t="s">
        <v>577</v>
      </c>
      <c r="B259" s="17">
        <v>2566</v>
      </c>
      <c r="C259" s="17">
        <v>12451.8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源表</vt:lpstr>
      <vt:lpstr>透视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2021-02-07T08:10:27Z</dcterms:created>
  <dcterms:modified xsi:type="dcterms:W3CDTF">2021-02-08T04:03:25Z</dcterms:modified>
</cp:coreProperties>
</file>