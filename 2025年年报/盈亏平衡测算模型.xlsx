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产品参数" sheetId="2" state="visible" r:id="rId2"/>
    <sheet name="盈亏平衡计算" sheetId="3" state="visible" r:id="rId3"/>
    <sheet name="敏感性分析" sheetId="4" state="visible" r:id="rId4"/>
    <sheet name="可视化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Microsoft YaHei"/>
      <b val="1"/>
      <color rgb="002F5496"/>
      <sz val="14"/>
    </font>
    <font>
      <name val="Microsoft YaHei"/>
      <color rgb="00666666"/>
      <sz val="12"/>
    </font>
    <font>
      <name val="Microsoft YaHei"/>
      <b val="1"/>
      <sz val="11"/>
    </font>
    <font>
      <name val="Microsoft YaHei"/>
      <sz val="10"/>
    </font>
    <font>
      <name val="Microsoft YaHei"/>
      <b val="1"/>
      <sz val="10"/>
    </font>
    <font>
      <name val="Microsoft YaHei"/>
      <color rgb="00555555"/>
      <sz val="10"/>
    </font>
    <font>
      <name val="Microsoft YaHei"/>
      <sz val="11"/>
    </font>
    <font>
      <name val="Microsoft YaHei"/>
      <i val="1"/>
      <color rgb="00808080"/>
      <sz val="9"/>
    </font>
    <font>
      <name val="Microsoft YaHei"/>
      <b val="1"/>
      <color rgb="002F5496"/>
      <sz val="12"/>
    </font>
    <font>
      <name val="Microsoft YaHei"/>
      <b val="1"/>
      <color rgb="00FFFFFF"/>
      <sz val="11"/>
    </font>
    <font>
      <name val="Microsoft YaHei"/>
      <b val="1"/>
      <sz val="12"/>
    </font>
    <font>
      <name val="Microsoft YaHei"/>
      <b val="1"/>
      <color rgb="00FF0000"/>
      <sz val="10"/>
    </font>
    <font>
      <name val="Microsoft YaHei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3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3" fontId="13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A. 本量利图 - 120&amp;155合计</a:t>
            </a:r>
          </a:p>
        </rich>
      </tx>
    </title>
    <plotArea>
      <lineChart>
        <grouping val="standard"/>
        <ser>
          <idx val="0"/>
          <order val="0"/>
          <tx>
            <strRef>
              <f>'可视化'!B10</f>
            </strRef>
          </tx>
          <spPr>
            <a:ln w="285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'可视化'!$A$11:$A$18</f>
            </numRef>
          </cat>
          <val>
            <numRef>
              <f>'可视化'!$B$11:$B$18</f>
            </numRef>
          </val>
        </ser>
        <ser>
          <idx val="1"/>
          <order val="1"/>
          <tx>
            <strRef>
              <f>'可视化'!D10</f>
            </strRef>
          </tx>
          <spPr>
            <a:ln w="285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'可视化'!$A$11:$A$18</f>
            </numRef>
          </cat>
          <val>
            <numRef>
              <f>'可视化'!$D$11:$D$18</f>
            </numRef>
          </val>
        </ser>
        <ser>
          <idx val="2"/>
          <order val="2"/>
          <tx>
            <strRef>
              <f>'可视化'!E10</f>
            </strRef>
          </tx>
          <spPr>
            <a:ln w="15000"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'可视化'!$A$11:$A$18</f>
            </numRef>
          </cat>
          <val>
            <numRef>
              <f>'可视化'!$E$11:$E$18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产能利用率 (100%=BEP)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金额 (元)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B. 利润-收入曲线 - 120&amp;155合计</a:t>
            </a:r>
          </a:p>
        </rich>
      </tx>
    </title>
    <plotArea>
      <lineChart>
        <grouping val="standard"/>
        <ser>
          <idx val="0"/>
          <order val="0"/>
          <tx>
            <strRef>
              <f>'可视化'!B43</f>
            </strRef>
          </tx>
          <spPr>
            <a:ln w="285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'可视化'!$A$44:$A$64</f>
            </numRef>
          </cat>
          <val>
            <numRef>
              <f>'可视化'!$B$44:$B$64</f>
            </numRef>
          </val>
        </ser>
        <ser>
          <idx val="1"/>
          <order val="1"/>
          <tx>
            <strRef>
              <f>'可视化'!C43</f>
            </strRef>
          </tx>
          <spPr>
            <a:ln w="15000"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'可视化'!$A$44:$A$64</f>
            </numRef>
          </cat>
          <val>
            <numRef>
              <f>'可视化'!$C$44:$C$64</f>
            </numRef>
          </val>
        </ser>
        <ser>
          <idx val="2"/>
          <order val="2"/>
          <tx>
            <v>BEP</v>
          </tx>
          <spPr>
            <a:ln>
              <a:noFill/>
              <a:prstDash val="solid"/>
            </a:ln>
          </spPr>
          <marker>
            <symbol val="diamond"/>
            <size val="10"/>
            <spPr>
              <a:solidFill>
                <a:srgbClr val="FF0000"/>
              </a:solidFill>
              <a:ln>
                <a:prstDash val="solid"/>
              </a:ln>
            </spPr>
          </marker>
          <val>
            <numRef>
              <f>'可视化'!$B$65</f>
            </numRef>
          </val>
        </ser>
        <ser>
          <idx val="3"/>
          <order val="3"/>
          <tx>
            <v>当前</v>
          </tx>
          <spPr>
            <a:ln>
              <a:noFill/>
              <a:prstDash val="solid"/>
            </a:ln>
          </spPr>
          <marker>
            <symbol val="circle"/>
            <size val="10"/>
            <spPr>
              <a:solidFill>
                <a:srgbClr val="2F5496"/>
              </a:solidFill>
              <a:ln>
                <a:prstDash val="solid"/>
              </a:ln>
            </spPr>
          </marker>
          <val>
            <numRef>
              <f>'可视化'!$B$66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120&amp;155收入 (元)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利润 (元)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C. 双产品BEP等利润线（线上=保本  线上方=盈利）</a:t>
            </a:r>
          </a:p>
        </rich>
      </tx>
    </title>
    <plotArea>
      <scatterChart>
        <ser>
          <idx val="0"/>
          <order val="0"/>
          <tx>
            <v>BEP线 (利润=0)</v>
          </tx>
          <spPr>
            <a:ln w="25000"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</ser>
        <ser>
          <idx val="1"/>
          <order val="1"/>
          <tx>
            <v>当前位置</v>
          </tx>
          <spPr>
            <a:ln>
              <a:noFill/>
              <a:prstDash val="solid"/>
            </a:ln>
          </spPr>
          <marker>
            <symbol val="circle"/>
            <size val="14"/>
            <spPr>
              <a:solidFill>
                <a:srgbClr val="FF0000"/>
              </a:solidFill>
              <a:ln>
                <a:prstDash val="solid"/>
              </a:ln>
            </spPr>
          </marker>
        </ser>
        <ser>
          <idx val="2"/>
          <order val="2"/>
          <tx>
            <v>纯120端点</v>
          </tx>
          <spPr>
            <a:ln>
              <a:noFill/>
              <a:prstDash val="solid"/>
            </a:ln>
          </spPr>
          <marker>
            <symbol val="diamond"/>
            <size val="9"/>
            <spPr>
              <a:solidFill>
                <a:srgbClr val="2F5496"/>
              </a:solidFill>
              <a:ln>
                <a:prstDash val="solid"/>
              </a:ln>
            </spPr>
          </marker>
        </ser>
        <ser>
          <idx val="3"/>
          <order val="3"/>
          <tx>
            <v>纯155端点</v>
          </tx>
          <spPr>
            <a:ln>
              <a:noFill/>
              <a:prstDash val="solid"/>
            </a:ln>
          </spPr>
          <marker>
            <symbol val="diamond"/>
            <size val="9"/>
            <spPr>
              <a:solidFill>
                <a:srgbClr val="00B050"/>
              </a:solidFill>
              <a:ln>
                <a:prstDash val="solid"/>
              </a:ln>
            </spPr>
          </marker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155年销量 (个)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120年销量 (个)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68</row>
      <rowOff>0</rowOff>
    </from>
    <ext cx="864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128</row>
      <rowOff>0</rowOff>
    </from>
    <ext cx="864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0"/>
  <sheetViews>
    <sheetView workbookViewId="0">
      <selection activeCell="A1" sqref="A1"/>
    </sheetView>
  </sheetViews>
  <sheetFormatPr baseColWidth="8" defaultRowHeight="15"/>
  <cols>
    <col width="3" customWidth="1" min="1" max="1"/>
    <col width="55" customWidth="1" min="2" max="2"/>
    <col width="6" customWidth="1" min="3" max="3"/>
  </cols>
  <sheetData>
    <row r="1">
      <c r="B1" s="1" t="inlineStr">
        <is>
          <t>烨软科技 盈亏平衡测算模型</t>
        </is>
      </c>
    </row>
    <row r="2">
      <c r="B2" s="2" t="inlineStr">
        <is>
          <t>—— 两个产品（120 / 155）要卖多少才不亏钱？</t>
        </is>
      </c>
    </row>
    <row r="4">
      <c r="B4" s="1" t="inlineStr">
        <is>
          <t>怎么用？三步</t>
        </is>
      </c>
    </row>
    <row r="5">
      <c r="B5" s="3" t="inlineStr">
        <is>
          <t>第一步：点「产品参数」</t>
        </is>
      </c>
    </row>
    <row r="6" ht="42" customHeight="1">
      <c r="B6" s="4" t="inlineStr">
        <is>
          <t>黄色格子改销量。白色格子自动算，改完回车利润自动刷新。</t>
        </is>
      </c>
    </row>
    <row r="7">
      <c r="B7" s="3" t="inlineStr">
        <is>
          <t>第二步：点「盈亏平衡计算」</t>
        </is>
      </c>
    </row>
    <row r="8" ht="42" customHeight="1">
      <c r="B8" s="4" t="inlineStr">
        <is>
          <t>5 BEP收入 = 保本线   7 安全边际 = 比保本线多多少（负=亏）   盈亏状态 = 赚/亏</t>
        </is>
      </c>
    </row>
    <row r="9">
      <c r="B9" s="3" t="inlineStr">
        <is>
          <t>第三步：点「可视化」</t>
        </is>
      </c>
    </row>
    <row r="10" ht="42" customHeight="1">
      <c r="B10" s="4" t="inlineStr">
        <is>
          <t>图A 收入vs成本交叉点 = 保本位置
图B 利润曲线 = 啥时候开始赚钱
图C 等利润线 = 两个产品怎么搭才保本，红圈=你现在在哪</t>
        </is>
      </c>
    </row>
    <row r="12">
      <c r="B12" s="1" t="inlineStr">
        <is>
          <t>当前结果（数据来源于你填的参数）</t>
        </is>
      </c>
    </row>
    <row r="13">
      <c r="B13" s="5" t="inlineStr">
        <is>
          <t>公司一年固定开销：</t>
        </is>
      </c>
      <c r="C13" s="6" t="inlineStr">
        <is>
          <t>349 万    工资+房租+利息等，详见「盈亏平衡计算」</t>
        </is>
      </c>
    </row>
    <row r="14">
      <c r="B14" s="5" t="inlineStr">
        <is>
          <t>贸易业务贡献：</t>
        </is>
      </c>
      <c r="C14" s="6" t="inlineStr">
        <is>
          <t>60 万    固定利润，不参与本表计算</t>
        </is>
      </c>
    </row>
    <row r="15">
      <c r="B15" s="5" t="inlineStr">
        <is>
          <t>120和155需赚回：</t>
        </is>
      </c>
      <c r="C15" s="6" t="inlineStr">
        <is>
          <t>289 万    349-60，这是两个产品要拼的</t>
        </is>
      </c>
    </row>
    <row r="16">
      <c r="B16" s="5" t="inlineStr">
        <is>
          <t>保本需要卖到：</t>
        </is>
      </c>
      <c r="C16" s="6" t="inlineStr">
        <is>
          <t>525 万    120+155合计收入</t>
        </is>
      </c>
    </row>
    <row r="17">
      <c r="B17" s="5" t="inlineStr">
        <is>
          <t>现在实际卖：</t>
        </is>
      </c>
      <c r="C17" s="6" t="inlineStr">
        <is>
          <t>330 万    假设各卖500个，去「产品参数」改</t>
        </is>
      </c>
    </row>
    <row r="18">
      <c r="B18" s="5" t="inlineStr">
        <is>
          <t>当前结果：</t>
        </is>
      </c>
      <c r="C18" s="6" t="inlineStr">
        <is>
          <t>亏 107 万    差 195 万才保本</t>
        </is>
      </c>
    </row>
    <row r="20">
      <c r="B20" s="1" t="inlineStr">
        <is>
          <t>快速算：想赚多少钱，得卖多少？</t>
        </is>
      </c>
    </row>
    <row r="21">
      <c r="B21" s="7" t="inlineStr">
        <is>
          <t>公式：(289万 + 想要的利润) / 55% = 需要卖到</t>
        </is>
      </c>
    </row>
    <row r="22">
      <c r="B22" s="8" t="inlineStr">
        <is>
          <t xml:space="preserve">  不亏（保本）：需要卖到 525 万</t>
        </is>
      </c>
    </row>
    <row r="23">
      <c r="B23" s="8" t="inlineStr">
        <is>
          <t xml:space="preserve">  赚 50 万：需要卖到 616 万</t>
        </is>
      </c>
    </row>
    <row r="24">
      <c r="B24" s="8" t="inlineStr">
        <is>
          <t xml:space="preserve">  赚 100 万：需要卖到 707 万</t>
        </is>
      </c>
    </row>
    <row r="26">
      <c r="B26" s="1" t="inlineStr">
        <is>
          <t>注意事项</t>
        </is>
      </c>
    </row>
    <row r="27">
      <c r="B27" s="8" t="inlineStr">
        <is>
          <t>· 只改黄色格子，其他格子有公式，改了就坏了</t>
        </is>
      </c>
    </row>
    <row r="28">
      <c r="B28" s="8" t="inlineStr">
        <is>
          <t>· 毛利率会自动根据你填的单价/成本算，不用手填</t>
        </is>
      </c>
    </row>
    <row r="29">
      <c r="B29" s="8" t="inlineStr">
        <is>
          <t>· 利息按当前贷款算（1.5万/月），还了贷款要改月利息</t>
        </is>
      </c>
    </row>
    <row r="30">
      <c r="B30" s="8" t="inlineStr">
        <is>
          <t>· 折旧 30 万/年是非现金支出，现金流比报表利润好看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烨软科技 盈亏平衡测算模型</t>
        </is>
      </c>
    </row>
    <row r="2">
      <c r="A2" s="9" t="inlineStr">
        <is>
          <t>黄色 = 手动改   白色 = 公式自动</t>
        </is>
      </c>
    </row>
    <row r="4">
      <c r="A4" s="10" t="inlineStr">
        <is>
          <t>一、产品参数</t>
        </is>
      </c>
    </row>
    <row r="5">
      <c r="A5" s="11" t="inlineStr"/>
      <c r="B5" s="11" t="inlineStr">
        <is>
          <t>120</t>
        </is>
      </c>
      <c r="C5" s="11" t="inlineStr">
        <is>
          <t>155</t>
        </is>
      </c>
      <c r="D5" s="11" t="inlineStr">
        <is>
          <t>研发产品</t>
        </is>
      </c>
      <c r="E5" s="11" t="inlineStr">
        <is>
          <t>贸易</t>
        </is>
      </c>
    </row>
    <row r="6">
      <c r="A6" s="12" t="inlineStr">
        <is>
          <t>年销量（个）</t>
        </is>
      </c>
      <c r="B6" s="13" t="n">
        <v>500</v>
      </c>
      <c r="C6" s="13" t="n">
        <v>500</v>
      </c>
      <c r="D6" s="13" t="n">
        <v>1</v>
      </c>
      <c r="E6" s="13" t="n">
        <v>1</v>
      </c>
    </row>
    <row r="7">
      <c r="A7" s="12" t="inlineStr">
        <is>
          <t>单价（元）</t>
        </is>
      </c>
      <c r="B7" s="13" t="n">
        <v>2600</v>
      </c>
      <c r="C7" s="13" t="n">
        <v>4000</v>
      </c>
      <c r="D7" s="13" t="n">
        <v>1000000</v>
      </c>
      <c r="E7" s="13" t="n">
        <v>3000000</v>
      </c>
    </row>
    <row r="8">
      <c r="A8" s="12" t="inlineStr">
        <is>
          <t>单位材料成本（元）</t>
        </is>
      </c>
      <c r="B8" s="13" t="n">
        <v>1170</v>
      </c>
      <c r="C8" s="13" t="n">
        <v>1800</v>
      </c>
      <c r="D8" s="13" t="n">
        <v>1000000</v>
      </c>
      <c r="E8" s="13" t="n">
        <v>2400000</v>
      </c>
    </row>
    <row r="10">
      <c r="A10" s="12" t="inlineStr">
        <is>
          <t>单位毛利（元）</t>
        </is>
      </c>
      <c r="B10" s="14">
        <f>B7-B8</f>
        <v/>
      </c>
      <c r="C10" s="14">
        <f>C7-C8</f>
        <v/>
      </c>
      <c r="D10" s="14">
        <f>D7-D8</f>
        <v/>
      </c>
      <c r="E10" s="14">
        <f>E7-E8</f>
        <v/>
      </c>
    </row>
    <row r="11">
      <c r="A11" s="12" t="inlineStr">
        <is>
          <t>毛利率</t>
        </is>
      </c>
      <c r="B11" s="15">
        <f>IF(B7=0,"-",B10/B7)</f>
        <v/>
      </c>
      <c r="C11" s="15">
        <f>IF(C7=0,"-",C10/C7)</f>
        <v/>
      </c>
      <c r="D11" s="15">
        <f>IF(D7=0,"-",D10/D7)</f>
        <v/>
      </c>
      <c r="E11" s="15">
        <f>IF(E7=0,"-",E10/E7)</f>
        <v/>
      </c>
    </row>
    <row r="13">
      <c r="A13" s="12" t="inlineStr">
        <is>
          <t>年收入</t>
        </is>
      </c>
      <c r="B13" s="14">
        <f>B6*B7</f>
        <v/>
      </c>
      <c r="C13" s="14">
        <f>C6*C7</f>
        <v/>
      </c>
      <c r="D13" s="14">
        <f>D6*D7</f>
        <v/>
      </c>
      <c r="E13" s="14">
        <f>E6*E7</f>
        <v/>
      </c>
    </row>
    <row r="14">
      <c r="A14" s="12" t="inlineStr">
        <is>
          <t>年毛利额</t>
        </is>
      </c>
      <c r="B14" s="14">
        <f>B10*B6</f>
        <v/>
      </c>
      <c r="C14" s="14">
        <f>C10*C6</f>
        <v/>
      </c>
      <c r="D14" s="14">
        <f>D10*D6</f>
        <v/>
      </c>
      <c r="E14" s="14">
        <f>E10*E6</f>
        <v/>
      </c>
    </row>
    <row r="16">
      <c r="A16" s="10" t="inlineStr">
        <is>
          <t>二、汇总</t>
        </is>
      </c>
    </row>
    <row r="17">
      <c r="A17" s="16" t="inlineStr">
        <is>
          <t>总收入</t>
        </is>
      </c>
      <c r="B17" s="17">
        <f>SUM(B13:E13)</f>
        <v/>
      </c>
    </row>
    <row r="18">
      <c r="A18" s="16" t="inlineStr">
        <is>
          <t>总毛利</t>
        </is>
      </c>
      <c r="B18" s="17">
        <f>SUM(B14:E14)</f>
        <v/>
      </c>
    </row>
    <row r="19">
      <c r="A19" s="16" t="inlineStr">
        <is>
          <t>综合毛利率</t>
        </is>
      </c>
      <c r="B19" s="18">
        <f>IF(B17=0,"-",B18/B17)</f>
        <v/>
      </c>
    </row>
    <row r="20">
      <c r="A20" s="16" t="inlineStr">
        <is>
          <t>120&amp;155 合计收入</t>
        </is>
      </c>
      <c r="B20" s="17">
        <f>B13+C13</f>
        <v/>
      </c>
    </row>
    <row r="21">
      <c r="A21" s="16" t="inlineStr">
        <is>
          <t>120&amp;155 毛利率</t>
        </is>
      </c>
      <c r="B21" s="18">
        <f>IF(B20=0,"-",(B14+C14)/B20)</f>
        <v/>
      </c>
    </row>
    <row r="23">
      <c r="A23" s="10" t="inlineStr">
        <is>
          <t>三、利润快算</t>
        </is>
      </c>
    </row>
    <row r="24">
      <c r="A24" s="16" t="inlineStr">
        <is>
          <t>总毛利</t>
        </is>
      </c>
      <c r="B24" s="17">
        <f>B18</f>
        <v/>
      </c>
    </row>
    <row r="25">
      <c r="A25" s="16" t="inlineStr">
        <is>
          <t>固定费用</t>
        </is>
      </c>
      <c r="B25" s="17">
        <f>'盈亏平衡计算'!C13</f>
        <v/>
      </c>
    </row>
    <row r="26">
      <c r="A26" s="19" t="inlineStr">
        <is>
          <t>利润</t>
        </is>
      </c>
      <c r="B26" s="20">
        <f>B24-B25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1" t="inlineStr">
        <is>
          <t>盈亏平衡计算</t>
        </is>
      </c>
    </row>
    <row r="3">
      <c r="A3" s="10" t="inlineStr">
        <is>
          <t>一、固定费用明细（年）</t>
        </is>
      </c>
    </row>
    <row r="4">
      <c r="A4" s="11" t="inlineStr">
        <is>
          <t>项目</t>
        </is>
      </c>
      <c r="B4" s="11" t="inlineStr">
        <is>
          <t>月（可调）</t>
        </is>
      </c>
      <c r="C4" s="11" t="inlineStr">
        <is>
          <t>年（=月x12）</t>
        </is>
      </c>
    </row>
    <row r="5">
      <c r="A5" s="12" t="inlineStr">
        <is>
          <t>人工（含社保）</t>
        </is>
      </c>
      <c r="B5" s="13" t="n">
        <v>230000</v>
      </c>
      <c r="C5" s="14">
        <f>B5*12</f>
        <v/>
      </c>
    </row>
    <row r="6">
      <c r="A6" s="12" t="inlineStr">
        <is>
          <t>房租</t>
        </is>
      </c>
      <c r="B6" s="13" t="n">
        <v>14036</v>
      </c>
      <c r="C6" s="14">
        <f>B6*12</f>
        <v/>
      </c>
    </row>
    <row r="7">
      <c r="A7" s="12" t="inlineStr">
        <is>
          <t>水电</t>
        </is>
      </c>
      <c r="B7" s="13" t="n">
        <v>1500</v>
      </c>
      <c r="C7" s="14">
        <f>B7*12</f>
        <v/>
      </c>
    </row>
    <row r="8">
      <c r="A8" s="12" t="inlineStr">
        <is>
          <t>物管</t>
        </is>
      </c>
      <c r="B8" s="13" t="n">
        <v>1750</v>
      </c>
      <c r="C8" s="14">
        <f>B8*12</f>
        <v/>
      </c>
    </row>
    <row r="9">
      <c r="A9" s="12" t="inlineStr">
        <is>
          <t>折旧</t>
        </is>
      </c>
      <c r="B9" s="13" t="n">
        <v>25000</v>
      </c>
      <c r="C9" s="14">
        <f>B9*12</f>
        <v/>
      </c>
    </row>
    <row r="10">
      <c r="A10" s="12" t="inlineStr">
        <is>
          <t>办公费</t>
        </is>
      </c>
      <c r="B10" s="13" t="n">
        <v>2000</v>
      </c>
      <c r="C10" s="14">
        <f>B10*12</f>
        <v/>
      </c>
    </row>
    <row r="11">
      <c r="A11" s="12" t="inlineStr">
        <is>
          <t>中介费</t>
        </is>
      </c>
      <c r="B11" s="13" t="n">
        <v>1500</v>
      </c>
      <c r="C11" s="14">
        <f>B11*12</f>
        <v/>
      </c>
    </row>
    <row r="12">
      <c r="A12" s="12" t="inlineStr">
        <is>
          <t>利息</t>
        </is>
      </c>
      <c r="B12" s="13" t="n">
        <v>15000</v>
      </c>
      <c r="C12" s="14">
        <f>B12*12</f>
        <v/>
      </c>
    </row>
    <row r="13">
      <c r="A13" s="16" t="inlineStr">
        <is>
          <t>固定费用合计</t>
        </is>
      </c>
      <c r="B13" s="14" t="inlineStr">
        <is>
          <t>-</t>
        </is>
      </c>
      <c r="C13" s="17">
        <f>SUM(C5:C12)</f>
        <v/>
      </c>
    </row>
    <row r="15">
      <c r="A15" s="10" t="inlineStr">
        <is>
          <t>二、盈亏平衡计算</t>
        </is>
      </c>
    </row>
    <row r="16">
      <c r="A16" s="12" t="inlineStr">
        <is>
          <t>1 固定费用合计</t>
        </is>
      </c>
      <c r="B16" s="17">
        <f>C13</f>
        <v/>
      </c>
    </row>
    <row r="17">
      <c r="A17" s="12" t="inlineStr">
        <is>
          <t>2 贸易年毛利（=产品参数!E列年毛利额）</t>
        </is>
      </c>
      <c r="B17" s="14">
        <f>'产品参数'!E14</f>
        <v/>
      </c>
    </row>
    <row r="18">
      <c r="A18" s="12" t="inlineStr">
        <is>
          <t>3 = 1 - 2  需120&amp;155弥补的毛利缺口</t>
        </is>
      </c>
      <c r="B18" s="17">
        <f>B16-B17</f>
        <v/>
      </c>
    </row>
    <row r="19">
      <c r="A19" s="12" t="inlineStr">
        <is>
          <t>4 120&amp;155 毛利率（=产品参数!B21）</t>
        </is>
      </c>
      <c r="B19" s="15">
        <f>'产品参数'!B21</f>
        <v/>
      </c>
    </row>
    <row r="20">
      <c r="A20" s="12" t="inlineStr">
        <is>
          <t>5 = 3 / 4  BEP收入（120&amp;155需达到）</t>
        </is>
      </c>
      <c r="B20" s="17">
        <f>IF(B19=0,"-",B18/B19)</f>
        <v/>
      </c>
    </row>
    <row r="22">
      <c r="A22" s="12" t="inlineStr">
        <is>
          <t>6 当前120&amp;155实际收入（=产品参数!B20）</t>
        </is>
      </c>
      <c r="B22" s="14">
        <f>'产品参数'!B20</f>
        <v/>
      </c>
    </row>
    <row r="23">
      <c r="A23" s="12" t="inlineStr">
        <is>
          <t>7 = 6 - 5  安全边际（金额）</t>
        </is>
      </c>
      <c r="B23" s="17">
        <f>B22-B20</f>
        <v/>
      </c>
    </row>
    <row r="24">
      <c r="A24" s="12" t="inlineStr">
        <is>
          <t>8 = 7 / 6  安全边际率</t>
        </is>
      </c>
      <c r="B24" s="18">
        <f>IF(B22=0,"-",B23/B22)</f>
        <v/>
      </c>
    </row>
    <row r="26">
      <c r="A26" s="12" t="inlineStr">
        <is>
          <t>-&gt; 盈亏状态</t>
        </is>
      </c>
      <c r="B26" s="21">
        <f>IF(B23&gt;=0,"[ 盈 利 ]","[ 亏 损 ]")</f>
        <v/>
      </c>
    </row>
    <row r="28">
      <c r="A28" s="10" t="inlineStr">
        <is>
          <t>三、BEP组合分解（任意组合，120/155收入合计&gt;=BEP收入即可保本）</t>
        </is>
      </c>
    </row>
    <row r="29">
      <c r="A29" s="11" t="inlineStr">
        <is>
          <t>情景</t>
        </is>
      </c>
      <c r="B29" s="11" t="inlineStr">
        <is>
          <t>120年销量</t>
        </is>
      </c>
      <c r="C29" s="11" t="inlineStr">
        <is>
          <t>155年销量</t>
        </is>
      </c>
      <c r="D29" s="11" t="inlineStr">
        <is>
          <t>120收入</t>
        </is>
      </c>
      <c r="E29" s="11" t="inlineStr">
        <is>
          <t>155收入</t>
        </is>
      </c>
      <c r="F29" s="11" t="inlineStr">
        <is>
          <t>120&amp;155合计</t>
        </is>
      </c>
      <c r="G29" s="11" t="inlineStr">
        <is>
          <t>是否保本</t>
        </is>
      </c>
    </row>
    <row r="30">
      <c r="A30" s="12" t="inlineStr">
        <is>
          <t>纯卖120</t>
        </is>
      </c>
      <c r="B30" s="14">
        <f>ROUNDUP(B20/'产品参数'!B7,0)</f>
        <v/>
      </c>
      <c r="C30" s="14" t="n">
        <v>0</v>
      </c>
      <c r="D30" s="14">
        <f>B30*'产品参数'!B7</f>
        <v/>
      </c>
      <c r="E30" s="14" t="n">
        <v>0</v>
      </c>
      <c r="F30" s="17">
        <f>D30+E30</f>
        <v/>
      </c>
      <c r="G30" s="12">
        <f>IF(F30&gt;=B20,"OK 保本","X 亏损")</f>
        <v/>
      </c>
    </row>
    <row r="31">
      <c r="A31" s="12" t="inlineStr">
        <is>
          <t>纯卖155</t>
        </is>
      </c>
      <c r="B31" s="14" t="n">
        <v>0</v>
      </c>
      <c r="C31" s="14">
        <f>ROUNDUP(B20/'产品参数'!C7,0)</f>
        <v/>
      </c>
      <c r="D31" s="14" t="n">
        <v>0</v>
      </c>
      <c r="E31" s="14">
        <f>C31*'产品参数'!C7</f>
        <v/>
      </c>
      <c r="F31" s="17">
        <f>D31+E31</f>
        <v/>
      </c>
      <c r="G31" s="12">
        <f>IF(F31&gt;=B20,"OK 保本","X 亏损")</f>
        <v/>
      </c>
    </row>
    <row r="32">
      <c r="A32" s="12" t="inlineStr">
        <is>
          <t>当前组合</t>
        </is>
      </c>
      <c r="B32" s="14">
        <f>'产品参数'!B6</f>
        <v/>
      </c>
      <c r="C32" s="14">
        <f>'产品参数'!C6</f>
        <v/>
      </c>
      <c r="D32" s="14">
        <f>B32*'产品参数'!B7</f>
        <v/>
      </c>
      <c r="E32" s="14">
        <f>C32*'产品参数'!C7</f>
        <v/>
      </c>
      <c r="F32" s="17">
        <f>D32+E32</f>
        <v/>
      </c>
      <c r="G32" s="12">
        <f>IF(F32&gt;=B20,"OK 保本","X 亏损")</f>
        <v/>
      </c>
    </row>
    <row r="34">
      <c r="A34" s="10" t="inlineStr">
        <is>
          <t>四、当前利润</t>
        </is>
      </c>
    </row>
    <row r="35">
      <c r="A35" s="12" t="inlineStr">
        <is>
          <t>总毛利（=产品参数!B18）</t>
        </is>
      </c>
      <c r="B35" s="17">
        <f>'产品参数'!B18</f>
        <v/>
      </c>
    </row>
    <row r="36">
      <c r="A36" s="12" t="inlineStr">
        <is>
          <t>固定费用（=上面合计）</t>
        </is>
      </c>
      <c r="B36" s="17">
        <f>C13</f>
        <v/>
      </c>
    </row>
    <row r="37">
      <c r="A37" s="12" t="inlineStr">
        <is>
          <t>利润</t>
        </is>
      </c>
      <c r="B37" s="20">
        <f>B35-B36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产品组合敏感性分析（利润矩阵）</t>
        </is>
      </c>
    </row>
    <row r="2">
      <c r="A2" s="9" t="inlineStr">
        <is>
          <t>行=120年销量   列=155年销量   格=利润(元)   绿盈红亏  (公式联动，改参数自动刷新)</t>
        </is>
      </c>
    </row>
    <row r="4">
      <c r="A4" s="16" t="inlineStr">
        <is>
          <t>120 / 155 -&gt;</t>
        </is>
      </c>
      <c r="B4" s="11" t="n">
        <v>0</v>
      </c>
      <c r="C4" s="11" t="n">
        <v>200</v>
      </c>
      <c r="D4" s="11" t="n">
        <v>400</v>
      </c>
      <c r="E4" s="11" t="n">
        <v>600</v>
      </c>
      <c r="F4" s="11" t="n">
        <v>800</v>
      </c>
      <c r="G4" s="11" t="n">
        <v>1000</v>
      </c>
      <c r="H4" s="11" t="n">
        <v>1200</v>
      </c>
      <c r="I4" s="11" t="n">
        <v>1400</v>
      </c>
      <c r="J4" s="11" t="n">
        <v>1600</v>
      </c>
      <c r="K4" s="11" t="n">
        <v>1800</v>
      </c>
      <c r="L4" s="11" t="n">
        <v>2000</v>
      </c>
    </row>
    <row r="5">
      <c r="A5" s="16" t="n">
        <v>0</v>
      </c>
      <c r="B5" s="22">
        <f>A5*'产品参数'!B10+B$4*'产品参数'!C10+'产品参数'!E14-'盈亏平衡计算'!C13</f>
        <v/>
      </c>
      <c r="C5" s="22">
        <f>A5*'产品参数'!B10+C$4*'产品参数'!C10+'产品参数'!E14-'盈亏平衡计算'!C13</f>
        <v/>
      </c>
      <c r="D5" s="22">
        <f>A5*'产品参数'!B10+D$4*'产品参数'!C10+'产品参数'!E14-'盈亏平衡计算'!C13</f>
        <v/>
      </c>
      <c r="E5" s="22">
        <f>A5*'产品参数'!B10+E$4*'产品参数'!C10+'产品参数'!E14-'盈亏平衡计算'!C13</f>
        <v/>
      </c>
      <c r="F5" s="22">
        <f>A5*'产品参数'!B10+F$4*'产品参数'!C10+'产品参数'!E14-'盈亏平衡计算'!C13</f>
        <v/>
      </c>
      <c r="G5" s="22">
        <f>A5*'产品参数'!B10+G$4*'产品参数'!C10+'产品参数'!E14-'盈亏平衡计算'!C13</f>
        <v/>
      </c>
      <c r="H5" s="22">
        <f>A5*'产品参数'!B10+H$4*'产品参数'!C10+'产品参数'!E14-'盈亏平衡计算'!C13</f>
        <v/>
      </c>
      <c r="I5" s="22">
        <f>A5*'产品参数'!B10+I$4*'产品参数'!C10+'产品参数'!E14-'盈亏平衡计算'!C13</f>
        <v/>
      </c>
      <c r="J5" s="22">
        <f>A5*'产品参数'!B10+J$4*'产品参数'!C10+'产品参数'!E14-'盈亏平衡计算'!C13</f>
        <v/>
      </c>
      <c r="K5" s="22">
        <f>A5*'产品参数'!B10+K$4*'产品参数'!C10+'产品参数'!E14-'盈亏平衡计算'!C13</f>
        <v/>
      </c>
      <c r="L5" s="22">
        <f>A5*'产品参数'!B10+L$4*'产品参数'!C10+'产品参数'!E14-'盈亏平衡计算'!C13</f>
        <v/>
      </c>
    </row>
    <row r="6">
      <c r="A6" s="16" t="n">
        <v>250</v>
      </c>
      <c r="B6" s="22">
        <f>A6*'产品参数'!B10+B$4*'产品参数'!C10+'产品参数'!E14-'盈亏平衡计算'!C13</f>
        <v/>
      </c>
      <c r="C6" s="22">
        <f>A6*'产品参数'!B10+C$4*'产品参数'!C10+'产品参数'!E14-'盈亏平衡计算'!C13</f>
        <v/>
      </c>
      <c r="D6" s="22">
        <f>A6*'产品参数'!B10+D$4*'产品参数'!C10+'产品参数'!E14-'盈亏平衡计算'!C13</f>
        <v/>
      </c>
      <c r="E6" s="22">
        <f>A6*'产品参数'!B10+E$4*'产品参数'!C10+'产品参数'!E14-'盈亏平衡计算'!C13</f>
        <v/>
      </c>
      <c r="F6" s="22">
        <f>A6*'产品参数'!B10+F$4*'产品参数'!C10+'产品参数'!E14-'盈亏平衡计算'!C13</f>
        <v/>
      </c>
      <c r="G6" s="22">
        <f>A6*'产品参数'!B10+G$4*'产品参数'!C10+'产品参数'!E14-'盈亏平衡计算'!C13</f>
        <v/>
      </c>
      <c r="H6" s="22">
        <f>A6*'产品参数'!B10+H$4*'产品参数'!C10+'产品参数'!E14-'盈亏平衡计算'!C13</f>
        <v/>
      </c>
      <c r="I6" s="22">
        <f>A6*'产品参数'!B10+I$4*'产品参数'!C10+'产品参数'!E14-'盈亏平衡计算'!C13</f>
        <v/>
      </c>
      <c r="J6" s="22">
        <f>A6*'产品参数'!B10+J$4*'产品参数'!C10+'产品参数'!E14-'盈亏平衡计算'!C13</f>
        <v/>
      </c>
      <c r="K6" s="22">
        <f>A6*'产品参数'!B10+K$4*'产品参数'!C10+'产品参数'!E14-'盈亏平衡计算'!C13</f>
        <v/>
      </c>
      <c r="L6" s="22">
        <f>A6*'产品参数'!B10+L$4*'产品参数'!C10+'产品参数'!E14-'盈亏平衡计算'!C13</f>
        <v/>
      </c>
    </row>
    <row r="7">
      <c r="A7" s="16" t="n">
        <v>500</v>
      </c>
      <c r="B7" s="22">
        <f>A7*'产品参数'!B10+B$4*'产品参数'!C10+'产品参数'!E14-'盈亏平衡计算'!C13</f>
        <v/>
      </c>
      <c r="C7" s="22">
        <f>A7*'产品参数'!B10+C$4*'产品参数'!C10+'产品参数'!E14-'盈亏平衡计算'!C13</f>
        <v/>
      </c>
      <c r="D7" s="22">
        <f>A7*'产品参数'!B10+D$4*'产品参数'!C10+'产品参数'!E14-'盈亏平衡计算'!C13</f>
        <v/>
      </c>
      <c r="E7" s="22">
        <f>A7*'产品参数'!B10+E$4*'产品参数'!C10+'产品参数'!E14-'盈亏平衡计算'!C13</f>
        <v/>
      </c>
      <c r="F7" s="22">
        <f>A7*'产品参数'!B10+F$4*'产品参数'!C10+'产品参数'!E14-'盈亏平衡计算'!C13</f>
        <v/>
      </c>
      <c r="G7" s="22">
        <f>A7*'产品参数'!B10+G$4*'产品参数'!C10+'产品参数'!E14-'盈亏平衡计算'!C13</f>
        <v/>
      </c>
      <c r="H7" s="22">
        <f>A7*'产品参数'!B10+H$4*'产品参数'!C10+'产品参数'!E14-'盈亏平衡计算'!C13</f>
        <v/>
      </c>
      <c r="I7" s="22">
        <f>A7*'产品参数'!B10+I$4*'产品参数'!C10+'产品参数'!E14-'盈亏平衡计算'!C13</f>
        <v/>
      </c>
      <c r="J7" s="22">
        <f>A7*'产品参数'!B10+J$4*'产品参数'!C10+'产品参数'!E14-'盈亏平衡计算'!C13</f>
        <v/>
      </c>
      <c r="K7" s="22">
        <f>A7*'产品参数'!B10+K$4*'产品参数'!C10+'产品参数'!E14-'盈亏平衡计算'!C13</f>
        <v/>
      </c>
      <c r="L7" s="22">
        <f>A7*'产品参数'!B10+L$4*'产品参数'!C10+'产品参数'!E14-'盈亏平衡计算'!C13</f>
        <v/>
      </c>
    </row>
    <row r="8">
      <c r="A8" s="16" t="n">
        <v>750</v>
      </c>
      <c r="B8" s="22">
        <f>A8*'产品参数'!B10+B$4*'产品参数'!C10+'产品参数'!E14-'盈亏平衡计算'!C13</f>
        <v/>
      </c>
      <c r="C8" s="22">
        <f>A8*'产品参数'!B10+C$4*'产品参数'!C10+'产品参数'!E14-'盈亏平衡计算'!C13</f>
        <v/>
      </c>
      <c r="D8" s="22">
        <f>A8*'产品参数'!B10+D$4*'产品参数'!C10+'产品参数'!E14-'盈亏平衡计算'!C13</f>
        <v/>
      </c>
      <c r="E8" s="22">
        <f>A8*'产品参数'!B10+E$4*'产品参数'!C10+'产品参数'!E14-'盈亏平衡计算'!C13</f>
        <v/>
      </c>
      <c r="F8" s="22">
        <f>A8*'产品参数'!B10+F$4*'产品参数'!C10+'产品参数'!E14-'盈亏平衡计算'!C13</f>
        <v/>
      </c>
      <c r="G8" s="22">
        <f>A8*'产品参数'!B10+G$4*'产品参数'!C10+'产品参数'!E14-'盈亏平衡计算'!C13</f>
        <v/>
      </c>
      <c r="H8" s="22">
        <f>A8*'产品参数'!B10+H$4*'产品参数'!C10+'产品参数'!E14-'盈亏平衡计算'!C13</f>
        <v/>
      </c>
      <c r="I8" s="22">
        <f>A8*'产品参数'!B10+I$4*'产品参数'!C10+'产品参数'!E14-'盈亏平衡计算'!C13</f>
        <v/>
      </c>
      <c r="J8" s="22">
        <f>A8*'产品参数'!B10+J$4*'产品参数'!C10+'产品参数'!E14-'盈亏平衡计算'!C13</f>
        <v/>
      </c>
      <c r="K8" s="22">
        <f>A8*'产品参数'!B10+K$4*'产品参数'!C10+'产品参数'!E14-'盈亏平衡计算'!C13</f>
        <v/>
      </c>
      <c r="L8" s="22">
        <f>A8*'产品参数'!B10+L$4*'产品参数'!C10+'产品参数'!E14-'盈亏平衡计算'!C13</f>
        <v/>
      </c>
    </row>
    <row r="9">
      <c r="A9" s="16" t="n">
        <v>1000</v>
      </c>
      <c r="B9" s="22">
        <f>A9*'产品参数'!B10+B$4*'产品参数'!C10+'产品参数'!E14-'盈亏平衡计算'!C13</f>
        <v/>
      </c>
      <c r="C9" s="22">
        <f>A9*'产品参数'!B10+C$4*'产品参数'!C10+'产品参数'!E14-'盈亏平衡计算'!C13</f>
        <v/>
      </c>
      <c r="D9" s="22">
        <f>A9*'产品参数'!B10+D$4*'产品参数'!C10+'产品参数'!E14-'盈亏平衡计算'!C13</f>
        <v/>
      </c>
      <c r="E9" s="22">
        <f>A9*'产品参数'!B10+E$4*'产品参数'!C10+'产品参数'!E14-'盈亏平衡计算'!C13</f>
        <v/>
      </c>
      <c r="F9" s="22">
        <f>A9*'产品参数'!B10+F$4*'产品参数'!C10+'产品参数'!E14-'盈亏平衡计算'!C13</f>
        <v/>
      </c>
      <c r="G9" s="22">
        <f>A9*'产品参数'!B10+G$4*'产品参数'!C10+'产品参数'!E14-'盈亏平衡计算'!C13</f>
        <v/>
      </c>
      <c r="H9" s="22">
        <f>A9*'产品参数'!B10+H$4*'产品参数'!C10+'产品参数'!E14-'盈亏平衡计算'!C13</f>
        <v/>
      </c>
      <c r="I9" s="22">
        <f>A9*'产品参数'!B10+I$4*'产品参数'!C10+'产品参数'!E14-'盈亏平衡计算'!C13</f>
        <v/>
      </c>
      <c r="J9" s="22">
        <f>A9*'产品参数'!B10+J$4*'产品参数'!C10+'产品参数'!E14-'盈亏平衡计算'!C13</f>
        <v/>
      </c>
      <c r="K9" s="22">
        <f>A9*'产品参数'!B10+K$4*'产品参数'!C10+'产品参数'!E14-'盈亏平衡计算'!C13</f>
        <v/>
      </c>
      <c r="L9" s="22">
        <f>A9*'产品参数'!B10+L$4*'产品参数'!C10+'产品参数'!E14-'盈亏平衡计算'!C13</f>
        <v/>
      </c>
    </row>
    <row r="10">
      <c r="A10" s="16" t="n">
        <v>1250</v>
      </c>
      <c r="B10" s="22">
        <f>A10*'产品参数'!B10+B$4*'产品参数'!C10+'产品参数'!E14-'盈亏平衡计算'!C13</f>
        <v/>
      </c>
      <c r="C10" s="22">
        <f>A10*'产品参数'!B10+C$4*'产品参数'!C10+'产品参数'!E14-'盈亏平衡计算'!C13</f>
        <v/>
      </c>
      <c r="D10" s="22">
        <f>A10*'产品参数'!B10+D$4*'产品参数'!C10+'产品参数'!E14-'盈亏平衡计算'!C13</f>
        <v/>
      </c>
      <c r="E10" s="22">
        <f>A10*'产品参数'!B10+E$4*'产品参数'!C10+'产品参数'!E14-'盈亏平衡计算'!C13</f>
        <v/>
      </c>
      <c r="F10" s="22">
        <f>A10*'产品参数'!B10+F$4*'产品参数'!C10+'产品参数'!E14-'盈亏平衡计算'!C13</f>
        <v/>
      </c>
      <c r="G10" s="22">
        <f>A10*'产品参数'!B10+G$4*'产品参数'!C10+'产品参数'!E14-'盈亏平衡计算'!C13</f>
        <v/>
      </c>
      <c r="H10" s="22">
        <f>A10*'产品参数'!B10+H$4*'产品参数'!C10+'产品参数'!E14-'盈亏平衡计算'!C13</f>
        <v/>
      </c>
      <c r="I10" s="22">
        <f>A10*'产品参数'!B10+I$4*'产品参数'!C10+'产品参数'!E14-'盈亏平衡计算'!C13</f>
        <v/>
      </c>
      <c r="J10" s="22">
        <f>A10*'产品参数'!B10+J$4*'产品参数'!C10+'产品参数'!E14-'盈亏平衡计算'!C13</f>
        <v/>
      </c>
      <c r="K10" s="22">
        <f>A10*'产品参数'!B10+K$4*'产品参数'!C10+'产品参数'!E14-'盈亏平衡计算'!C13</f>
        <v/>
      </c>
      <c r="L10" s="22">
        <f>A10*'产品参数'!B10+L$4*'产品参数'!C10+'产品参数'!E14-'盈亏平衡计算'!C13</f>
        <v/>
      </c>
    </row>
    <row r="11">
      <c r="A11" s="16" t="n">
        <v>1500</v>
      </c>
      <c r="B11" s="22">
        <f>A11*'产品参数'!B10+B$4*'产品参数'!C10+'产品参数'!E14-'盈亏平衡计算'!C13</f>
        <v/>
      </c>
      <c r="C11" s="22">
        <f>A11*'产品参数'!B10+C$4*'产品参数'!C10+'产品参数'!E14-'盈亏平衡计算'!C13</f>
        <v/>
      </c>
      <c r="D11" s="22">
        <f>A11*'产品参数'!B10+D$4*'产品参数'!C10+'产品参数'!E14-'盈亏平衡计算'!C13</f>
        <v/>
      </c>
      <c r="E11" s="22">
        <f>A11*'产品参数'!B10+E$4*'产品参数'!C10+'产品参数'!E14-'盈亏平衡计算'!C13</f>
        <v/>
      </c>
      <c r="F11" s="22">
        <f>A11*'产品参数'!B10+F$4*'产品参数'!C10+'产品参数'!E14-'盈亏平衡计算'!C13</f>
        <v/>
      </c>
      <c r="G11" s="22">
        <f>A11*'产品参数'!B10+G$4*'产品参数'!C10+'产品参数'!E14-'盈亏平衡计算'!C13</f>
        <v/>
      </c>
      <c r="H11" s="22">
        <f>A11*'产品参数'!B10+H$4*'产品参数'!C10+'产品参数'!E14-'盈亏平衡计算'!C13</f>
        <v/>
      </c>
      <c r="I11" s="22">
        <f>A11*'产品参数'!B10+I$4*'产品参数'!C10+'产品参数'!E14-'盈亏平衡计算'!C13</f>
        <v/>
      </c>
      <c r="J11" s="22">
        <f>A11*'产品参数'!B10+J$4*'产品参数'!C10+'产品参数'!E14-'盈亏平衡计算'!C13</f>
        <v/>
      </c>
      <c r="K11" s="22">
        <f>A11*'产品参数'!B10+K$4*'产品参数'!C10+'产品参数'!E14-'盈亏平衡计算'!C13</f>
        <v/>
      </c>
      <c r="L11" s="22">
        <f>A11*'产品参数'!B10+L$4*'产品参数'!C10+'产品参数'!E14-'盈亏平衡计算'!C13</f>
        <v/>
      </c>
    </row>
    <row r="12">
      <c r="A12" s="16" t="n">
        <v>1750</v>
      </c>
      <c r="B12" s="22">
        <f>A12*'产品参数'!B10+B$4*'产品参数'!C10+'产品参数'!E14-'盈亏平衡计算'!C13</f>
        <v/>
      </c>
      <c r="C12" s="22">
        <f>A12*'产品参数'!B10+C$4*'产品参数'!C10+'产品参数'!E14-'盈亏平衡计算'!C13</f>
        <v/>
      </c>
      <c r="D12" s="22">
        <f>A12*'产品参数'!B10+D$4*'产品参数'!C10+'产品参数'!E14-'盈亏平衡计算'!C13</f>
        <v/>
      </c>
      <c r="E12" s="22">
        <f>A12*'产品参数'!B10+E$4*'产品参数'!C10+'产品参数'!E14-'盈亏平衡计算'!C13</f>
        <v/>
      </c>
      <c r="F12" s="22">
        <f>A12*'产品参数'!B10+F$4*'产品参数'!C10+'产品参数'!E14-'盈亏平衡计算'!C13</f>
        <v/>
      </c>
      <c r="G12" s="22">
        <f>A12*'产品参数'!B10+G$4*'产品参数'!C10+'产品参数'!E14-'盈亏平衡计算'!C13</f>
        <v/>
      </c>
      <c r="H12" s="22">
        <f>A12*'产品参数'!B10+H$4*'产品参数'!C10+'产品参数'!E14-'盈亏平衡计算'!C13</f>
        <v/>
      </c>
      <c r="I12" s="22">
        <f>A12*'产品参数'!B10+I$4*'产品参数'!C10+'产品参数'!E14-'盈亏平衡计算'!C13</f>
        <v/>
      </c>
      <c r="J12" s="22">
        <f>A12*'产品参数'!B10+J$4*'产品参数'!C10+'产品参数'!E14-'盈亏平衡计算'!C13</f>
        <v/>
      </c>
      <c r="K12" s="22">
        <f>A12*'产品参数'!B10+K$4*'产品参数'!C10+'产品参数'!E14-'盈亏平衡计算'!C13</f>
        <v/>
      </c>
      <c r="L12" s="22">
        <f>A12*'产品参数'!B10+L$4*'产品参数'!C10+'产品参数'!E14-'盈亏平衡计算'!C13</f>
        <v/>
      </c>
    </row>
    <row r="13">
      <c r="A13" s="16" t="n">
        <v>2000</v>
      </c>
      <c r="B13" s="22">
        <f>A13*'产品参数'!B10+B$4*'产品参数'!C10+'产品参数'!E14-'盈亏平衡计算'!C13</f>
        <v/>
      </c>
      <c r="C13" s="22">
        <f>A13*'产品参数'!B10+C$4*'产品参数'!C10+'产品参数'!E14-'盈亏平衡计算'!C13</f>
        <v/>
      </c>
      <c r="D13" s="22">
        <f>A13*'产品参数'!B10+D$4*'产品参数'!C10+'产品参数'!E14-'盈亏平衡计算'!C13</f>
        <v/>
      </c>
      <c r="E13" s="22">
        <f>A13*'产品参数'!B10+E$4*'产品参数'!C10+'产品参数'!E14-'盈亏平衡计算'!C13</f>
        <v/>
      </c>
      <c r="F13" s="22">
        <f>A13*'产品参数'!B10+F$4*'产品参数'!C10+'产品参数'!E14-'盈亏平衡计算'!C13</f>
        <v/>
      </c>
      <c r="G13" s="22">
        <f>A13*'产品参数'!B10+G$4*'产品参数'!C10+'产品参数'!E14-'盈亏平衡计算'!C13</f>
        <v/>
      </c>
      <c r="H13" s="22">
        <f>A13*'产品参数'!B10+H$4*'产品参数'!C10+'产品参数'!E14-'盈亏平衡计算'!C13</f>
        <v/>
      </c>
      <c r="I13" s="22">
        <f>A13*'产品参数'!B10+I$4*'产品参数'!C10+'产品参数'!E14-'盈亏平衡计算'!C13</f>
        <v/>
      </c>
      <c r="J13" s="22">
        <f>A13*'产品参数'!B10+J$4*'产品参数'!C10+'产品参数'!E14-'盈亏平衡计算'!C13</f>
        <v/>
      </c>
      <c r="K13" s="22">
        <f>A13*'产品参数'!B10+K$4*'产品参数'!C10+'产品参数'!E14-'盈亏平衡计算'!C13</f>
        <v/>
      </c>
      <c r="L13" s="22">
        <f>A13*'产品参数'!B10+L$4*'产品参数'!C10+'产品参数'!E14-'盈亏平衡计算'!C13</f>
        <v/>
      </c>
    </row>
    <row r="14">
      <c r="A14" s="16" t="n">
        <v>2250</v>
      </c>
      <c r="B14" s="22">
        <f>A14*'产品参数'!B10+B$4*'产品参数'!C10+'产品参数'!E14-'盈亏平衡计算'!C13</f>
        <v/>
      </c>
      <c r="C14" s="22">
        <f>A14*'产品参数'!B10+C$4*'产品参数'!C10+'产品参数'!E14-'盈亏平衡计算'!C13</f>
        <v/>
      </c>
      <c r="D14" s="22">
        <f>A14*'产品参数'!B10+D$4*'产品参数'!C10+'产品参数'!E14-'盈亏平衡计算'!C13</f>
        <v/>
      </c>
      <c r="E14" s="22">
        <f>A14*'产品参数'!B10+E$4*'产品参数'!C10+'产品参数'!E14-'盈亏平衡计算'!C13</f>
        <v/>
      </c>
      <c r="F14" s="22">
        <f>A14*'产品参数'!B10+F$4*'产品参数'!C10+'产品参数'!E14-'盈亏平衡计算'!C13</f>
        <v/>
      </c>
      <c r="G14" s="22">
        <f>A14*'产品参数'!B10+G$4*'产品参数'!C10+'产品参数'!E14-'盈亏平衡计算'!C13</f>
        <v/>
      </c>
      <c r="H14" s="22">
        <f>A14*'产品参数'!B10+H$4*'产品参数'!C10+'产品参数'!E14-'盈亏平衡计算'!C13</f>
        <v/>
      </c>
      <c r="I14" s="22">
        <f>A14*'产品参数'!B10+I$4*'产品参数'!C10+'产品参数'!E14-'盈亏平衡计算'!C13</f>
        <v/>
      </c>
      <c r="J14" s="22">
        <f>A14*'产品参数'!B10+J$4*'产品参数'!C10+'产品参数'!E14-'盈亏平衡计算'!C13</f>
        <v/>
      </c>
      <c r="K14" s="22">
        <f>A14*'产品参数'!B10+K$4*'产品参数'!C10+'产品参数'!E14-'盈亏平衡计算'!C13</f>
        <v/>
      </c>
      <c r="L14" s="22">
        <f>A14*'产品参数'!B10+L$4*'产品参数'!C10+'产品参数'!E14-'盈亏平衡计算'!C13</f>
        <v/>
      </c>
    </row>
    <row r="15">
      <c r="A15" s="16" t="n">
        <v>2500</v>
      </c>
      <c r="B15" s="22">
        <f>A15*'产品参数'!B10+B$4*'产品参数'!C10+'产品参数'!E14-'盈亏平衡计算'!C13</f>
        <v/>
      </c>
      <c r="C15" s="22">
        <f>A15*'产品参数'!B10+C$4*'产品参数'!C10+'产品参数'!E14-'盈亏平衡计算'!C13</f>
        <v/>
      </c>
      <c r="D15" s="22">
        <f>A15*'产品参数'!B10+D$4*'产品参数'!C10+'产品参数'!E14-'盈亏平衡计算'!C13</f>
        <v/>
      </c>
      <c r="E15" s="22">
        <f>A15*'产品参数'!B10+E$4*'产品参数'!C10+'产品参数'!E14-'盈亏平衡计算'!C13</f>
        <v/>
      </c>
      <c r="F15" s="22">
        <f>A15*'产品参数'!B10+F$4*'产品参数'!C10+'产品参数'!E14-'盈亏平衡计算'!C13</f>
        <v/>
      </c>
      <c r="G15" s="22">
        <f>A15*'产品参数'!B10+G$4*'产品参数'!C10+'产品参数'!E14-'盈亏平衡计算'!C13</f>
        <v/>
      </c>
      <c r="H15" s="22">
        <f>A15*'产品参数'!B10+H$4*'产品参数'!C10+'产品参数'!E14-'盈亏平衡计算'!C13</f>
        <v/>
      </c>
      <c r="I15" s="22">
        <f>A15*'产品参数'!B10+I$4*'产品参数'!C10+'产品参数'!E14-'盈亏平衡计算'!C13</f>
        <v/>
      </c>
      <c r="J15" s="22">
        <f>A15*'产品参数'!B10+J$4*'产品参数'!C10+'产品参数'!E14-'盈亏平衡计算'!C13</f>
        <v/>
      </c>
      <c r="K15" s="22">
        <f>A15*'产品参数'!B10+K$4*'产品参数'!C10+'产品参数'!E14-'盈亏平衡计算'!C13</f>
        <v/>
      </c>
      <c r="L15" s="22">
        <f>A15*'产品参数'!B10+L$4*'产品参数'!C10+'产品参数'!E14-'盈亏平衡计算'!C13</f>
        <v/>
      </c>
    </row>
    <row r="17">
      <c r="A17" s="16" t="inlineStr">
        <is>
          <t>图例:</t>
        </is>
      </c>
      <c r="B17" s="23" t="inlineStr">
        <is>
          <t>绿色=盈利</t>
        </is>
      </c>
    </row>
    <row r="18">
      <c r="B18" s="24" t="inlineStr">
        <is>
          <t>红色=亏损</t>
        </is>
      </c>
    </row>
    <row r="20">
      <c r="A20" s="12" t="inlineStr">
        <is>
          <t>当前利润</t>
        </is>
      </c>
      <c r="B20" s="17">
        <f>'产品参数'!B18-'盈亏平衡计算'!C13</f>
        <v/>
      </c>
    </row>
    <row r="21">
      <c r="A21" s="12" t="inlineStr">
        <is>
          <t>当前120销量</t>
        </is>
      </c>
      <c r="B21" s="14">
        <f>'产品参数'!B6</f>
        <v/>
      </c>
    </row>
    <row r="22">
      <c r="A22" s="12" t="inlineStr">
        <is>
          <t>当前155销量</t>
        </is>
      </c>
      <c r="B22" s="14">
        <f>'产品参数'!C6</f>
        <v/>
      </c>
    </row>
  </sheetData>
  <conditionalFormatting sqref="B5:L15">
    <cfRule type="cellIs" priority="1" operator="greaterThan" dxfId="0">
      <formula>0</formula>
    </cfRule>
    <cfRule type="cellIs" priority="2" operator="lessThanOrEqual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盈亏平衡可视化（A.本量利  B.利润曲线  C.等利润线）</t>
        </is>
      </c>
    </row>
    <row r="2">
      <c r="A2" s="9" t="inlineStr">
        <is>
          <t>* 数据全部公式引用，改Sheet1/Sheet2 -&gt; 图表自动更新</t>
        </is>
      </c>
    </row>
    <row r="4">
      <c r="A4" s="16" t="inlineStr">
        <is>
          <t>关键参数（引用盈亏平衡计算）</t>
        </is>
      </c>
    </row>
    <row r="5">
      <c r="A5" s="12" t="inlineStr">
        <is>
          <t>BEP收入</t>
        </is>
      </c>
      <c r="B5" s="14">
        <f>'盈亏平衡计算'!B20</f>
        <v/>
      </c>
    </row>
    <row r="6">
      <c r="A6" s="12" t="inlineStr">
        <is>
          <t>需弥补缺口</t>
        </is>
      </c>
      <c r="B6" s="14">
        <f>'盈亏平衡计算'!B18</f>
        <v/>
      </c>
    </row>
    <row r="7">
      <c r="A7" s="12" t="inlineStr">
        <is>
          <t>变动成本率(1-CMR)</t>
        </is>
      </c>
      <c r="B7" s="15">
        <f>1-'盈亏平衡计算'!B19</f>
        <v/>
      </c>
    </row>
    <row r="8">
      <c r="A8" s="12" t="inlineStr">
        <is>
          <t>当前120&amp;155收入</t>
        </is>
      </c>
      <c r="B8" s="14">
        <f>'产品参数'!B20</f>
        <v/>
      </c>
    </row>
    <row r="10">
      <c r="A10" s="11" t="inlineStr">
        <is>
          <t>产能利用率</t>
        </is>
      </c>
      <c r="B10" s="11" t="inlineStr">
        <is>
          <t>120&amp;155收入</t>
        </is>
      </c>
      <c r="C10" s="11" t="inlineStr">
        <is>
          <t>变动成本</t>
        </is>
      </c>
      <c r="D10" s="11" t="inlineStr">
        <is>
          <t>需覆盖成本(VC+缺口)</t>
        </is>
      </c>
      <c r="E10" s="11" t="inlineStr">
        <is>
          <t>缺口线</t>
        </is>
      </c>
    </row>
    <row r="11">
      <c r="A11" s="12" t="inlineStr">
        <is>
          <t>0%</t>
        </is>
      </c>
      <c r="B11" s="14">
        <f>B5*0.0</f>
        <v/>
      </c>
      <c r="C11" s="14">
        <f>B11*B7</f>
        <v/>
      </c>
      <c r="D11" s="14">
        <f>C11+B6</f>
        <v/>
      </c>
      <c r="E11" s="14">
        <f>B6</f>
        <v/>
      </c>
    </row>
    <row r="12">
      <c r="A12" s="12" t="inlineStr">
        <is>
          <t>20%</t>
        </is>
      </c>
      <c r="B12" s="14">
        <f>B5*0.2</f>
        <v/>
      </c>
      <c r="C12" s="14">
        <f>B12*B7</f>
        <v/>
      </c>
      <c r="D12" s="14">
        <f>C12+B6</f>
        <v/>
      </c>
      <c r="E12" s="14">
        <f>B6</f>
        <v/>
      </c>
    </row>
    <row r="13">
      <c r="A13" s="12" t="inlineStr">
        <is>
          <t>40%</t>
        </is>
      </c>
      <c r="B13" s="14">
        <f>B5*0.4</f>
        <v/>
      </c>
      <c r="C13" s="14">
        <f>B13*B7</f>
        <v/>
      </c>
      <c r="D13" s="14">
        <f>C13+B6</f>
        <v/>
      </c>
      <c r="E13" s="14">
        <f>B6</f>
        <v/>
      </c>
    </row>
    <row r="14">
      <c r="A14" s="12" t="inlineStr">
        <is>
          <t>60%</t>
        </is>
      </c>
      <c r="B14" s="14">
        <f>B5*0.6</f>
        <v/>
      </c>
      <c r="C14" s="14">
        <f>B14*B7</f>
        <v/>
      </c>
      <c r="D14" s="14">
        <f>C14+B6</f>
        <v/>
      </c>
      <c r="E14" s="14">
        <f>B6</f>
        <v/>
      </c>
    </row>
    <row r="15">
      <c r="A15" s="12" t="inlineStr">
        <is>
          <t>80%</t>
        </is>
      </c>
      <c r="B15" s="14">
        <f>B5*0.8</f>
        <v/>
      </c>
      <c r="C15" s="14">
        <f>B15*B7</f>
        <v/>
      </c>
      <c r="D15" s="14">
        <f>C15+B6</f>
        <v/>
      </c>
      <c r="E15" s="14">
        <f>B6</f>
        <v/>
      </c>
    </row>
    <row r="16">
      <c r="A16" s="12" t="inlineStr">
        <is>
          <t>100%</t>
        </is>
      </c>
      <c r="B16" s="14">
        <f>B5*1.0</f>
        <v/>
      </c>
      <c r="C16" s="14">
        <f>B16*B7</f>
        <v/>
      </c>
      <c r="D16" s="14">
        <f>C16+B6</f>
        <v/>
      </c>
      <c r="E16" s="14">
        <f>B6</f>
        <v/>
      </c>
    </row>
    <row r="17">
      <c r="A17" s="12" t="inlineStr">
        <is>
          <t>120%</t>
        </is>
      </c>
      <c r="B17" s="14">
        <f>B5*1.2</f>
        <v/>
      </c>
      <c r="C17" s="14">
        <f>B17*B7</f>
        <v/>
      </c>
      <c r="D17" s="14">
        <f>C17+B6</f>
        <v/>
      </c>
      <c r="E17" s="14">
        <f>B6</f>
        <v/>
      </c>
    </row>
    <row r="18">
      <c r="A18" s="12" t="inlineStr">
        <is>
          <t>140%</t>
        </is>
      </c>
      <c r="B18" s="14">
        <f>B5*1.4</f>
        <v/>
      </c>
      <c r="C18" s="14">
        <f>B18*B7</f>
        <v/>
      </c>
      <c r="D18" s="14">
        <f>C18+B6</f>
        <v/>
      </c>
      <c r="E18" s="14">
        <f>B6</f>
        <v/>
      </c>
    </row>
    <row r="19">
      <c r="A19" s="12" t="inlineStr">
        <is>
          <t>v BEP点</t>
        </is>
      </c>
      <c r="B19" s="14">
        <f>B5</f>
        <v/>
      </c>
      <c r="C19" s="14">
        <f>B5*B7</f>
        <v/>
      </c>
      <c r="D19" s="14">
        <f>B5</f>
        <v/>
      </c>
      <c r="E19" s="14">
        <f>B6</f>
        <v/>
      </c>
    </row>
    <row r="20">
      <c r="A20" s="12" t="inlineStr">
        <is>
          <t>* 当前位置</t>
        </is>
      </c>
      <c r="B20" s="14">
        <f>B8</f>
        <v/>
      </c>
      <c r="C20" s="14">
        <f>B20*B7</f>
        <v/>
      </c>
      <c r="D20" s="14">
        <f>C20+B6</f>
        <v/>
      </c>
      <c r="E20" s="14">
        <f>B6</f>
        <v/>
      </c>
    </row>
    <row r="42">
      <c r="A42" s="10" t="inlineStr">
        <is>
          <t>图B: 利润-收入曲线数据</t>
        </is>
      </c>
    </row>
    <row r="43">
      <c r="A43" s="11" t="inlineStr">
        <is>
          <t>120&amp;155收入</t>
        </is>
      </c>
      <c r="B43" s="11" t="inlineStr">
        <is>
          <t>利润</t>
        </is>
      </c>
      <c r="C43" s="11" t="inlineStr">
        <is>
          <t>零利润线</t>
        </is>
      </c>
      <c r="D43" s="11" t="inlineStr">
        <is>
          <t>标记</t>
        </is>
      </c>
    </row>
    <row r="44">
      <c r="A44" s="14" t="n">
        <v>0</v>
      </c>
      <c r="B44" s="14">
        <f>A44*'盈亏平衡计算'!B19-'盈亏平衡计算'!B18</f>
        <v/>
      </c>
      <c r="C44" s="14" t="n">
        <v>0</v>
      </c>
      <c r="D44" s="12" t="inlineStr"/>
    </row>
    <row r="45">
      <c r="A45" s="14" t="n">
        <v>500000</v>
      </c>
      <c r="B45" s="14">
        <f>A45*'盈亏平衡计算'!B19-'盈亏平衡计算'!B18</f>
        <v/>
      </c>
      <c r="C45" s="14" t="n">
        <v>0</v>
      </c>
      <c r="D45" s="12" t="inlineStr"/>
    </row>
    <row r="46">
      <c r="A46" s="14" t="n">
        <v>1000000</v>
      </c>
      <c r="B46" s="14">
        <f>A46*'盈亏平衡计算'!B19-'盈亏平衡计算'!B18</f>
        <v/>
      </c>
      <c r="C46" s="14" t="n">
        <v>0</v>
      </c>
      <c r="D46" s="12" t="inlineStr"/>
    </row>
    <row r="47">
      <c r="A47" s="14" t="n">
        <v>1500000</v>
      </c>
      <c r="B47" s="14">
        <f>A47*'盈亏平衡计算'!B19-'盈亏平衡计算'!B18</f>
        <v/>
      </c>
      <c r="C47" s="14" t="n">
        <v>0</v>
      </c>
      <c r="D47" s="12" t="inlineStr"/>
    </row>
    <row r="48">
      <c r="A48" s="14" t="n">
        <v>2000000</v>
      </c>
      <c r="B48" s="14">
        <f>A48*'盈亏平衡计算'!B19-'盈亏平衡计算'!B18</f>
        <v/>
      </c>
      <c r="C48" s="14" t="n">
        <v>0</v>
      </c>
      <c r="D48" s="12" t="inlineStr"/>
    </row>
    <row r="49">
      <c r="A49" s="14" t="n">
        <v>2500000</v>
      </c>
      <c r="B49" s="14">
        <f>A49*'盈亏平衡计算'!B19-'盈亏平衡计算'!B18</f>
        <v/>
      </c>
      <c r="C49" s="14" t="n">
        <v>0</v>
      </c>
      <c r="D49" s="12" t="inlineStr"/>
    </row>
    <row r="50">
      <c r="A50" s="14" t="n">
        <v>3000000</v>
      </c>
      <c r="B50" s="14">
        <f>A50*'盈亏平衡计算'!B19-'盈亏平衡计算'!B18</f>
        <v/>
      </c>
      <c r="C50" s="14" t="n">
        <v>0</v>
      </c>
      <c r="D50" s="12" t="inlineStr"/>
    </row>
    <row r="51">
      <c r="A51" s="14" t="n">
        <v>3500000</v>
      </c>
      <c r="B51" s="14">
        <f>A51*'盈亏平衡计算'!B19-'盈亏平衡计算'!B18</f>
        <v/>
      </c>
      <c r="C51" s="14" t="n">
        <v>0</v>
      </c>
      <c r="D51" s="12" t="inlineStr"/>
    </row>
    <row r="52">
      <c r="A52" s="14" t="n">
        <v>4000000</v>
      </c>
      <c r="B52" s="14">
        <f>A52*'盈亏平衡计算'!B19-'盈亏平衡计算'!B18</f>
        <v/>
      </c>
      <c r="C52" s="14" t="n">
        <v>0</v>
      </c>
      <c r="D52" s="12" t="inlineStr"/>
    </row>
    <row r="53">
      <c r="A53" s="14" t="n">
        <v>4500000</v>
      </c>
      <c r="B53" s="14">
        <f>A53*'盈亏平衡计算'!B19-'盈亏平衡计算'!B18</f>
        <v/>
      </c>
      <c r="C53" s="14" t="n">
        <v>0</v>
      </c>
      <c r="D53" s="12" t="inlineStr"/>
    </row>
    <row r="54">
      <c r="A54" s="14" t="n">
        <v>5000000</v>
      </c>
      <c r="B54" s="14">
        <f>A54*'盈亏平衡计算'!B19-'盈亏平衡计算'!B18</f>
        <v/>
      </c>
      <c r="C54" s="14" t="n">
        <v>0</v>
      </c>
      <c r="D54" s="12" t="inlineStr"/>
    </row>
    <row r="55">
      <c r="A55" s="14" t="n">
        <v>5500000</v>
      </c>
      <c r="B55" s="14">
        <f>A55*'盈亏平衡计算'!B19-'盈亏平衡计算'!B18</f>
        <v/>
      </c>
      <c r="C55" s="14" t="n">
        <v>0</v>
      </c>
      <c r="D55" s="12" t="inlineStr"/>
    </row>
    <row r="56">
      <c r="A56" s="14" t="n">
        <v>6000000</v>
      </c>
      <c r="B56" s="14">
        <f>A56*'盈亏平衡计算'!B19-'盈亏平衡计算'!B18</f>
        <v/>
      </c>
      <c r="C56" s="14" t="n">
        <v>0</v>
      </c>
      <c r="D56" s="12" t="inlineStr"/>
    </row>
    <row r="57">
      <c r="A57" s="14" t="n">
        <v>6500000</v>
      </c>
      <c r="B57" s="14">
        <f>A57*'盈亏平衡计算'!B19-'盈亏平衡计算'!B18</f>
        <v/>
      </c>
      <c r="C57" s="14" t="n">
        <v>0</v>
      </c>
      <c r="D57" s="12" t="inlineStr"/>
    </row>
    <row r="58">
      <c r="A58" s="14" t="n">
        <v>7000000</v>
      </c>
      <c r="B58" s="14">
        <f>A58*'盈亏平衡计算'!B19-'盈亏平衡计算'!B18</f>
        <v/>
      </c>
      <c r="C58" s="14" t="n">
        <v>0</v>
      </c>
      <c r="D58" s="12" t="inlineStr"/>
    </row>
    <row r="59">
      <c r="A59" s="14" t="n">
        <v>7500000</v>
      </c>
      <c r="B59" s="14">
        <f>A59*'盈亏平衡计算'!B19-'盈亏平衡计算'!B18</f>
        <v/>
      </c>
      <c r="C59" s="14" t="n">
        <v>0</v>
      </c>
      <c r="D59" s="12" t="inlineStr"/>
    </row>
    <row r="60">
      <c r="A60" s="14" t="n">
        <v>8000000</v>
      </c>
      <c r="B60" s="14">
        <f>A60*'盈亏平衡计算'!B19-'盈亏平衡计算'!B18</f>
        <v/>
      </c>
      <c r="C60" s="14" t="n">
        <v>0</v>
      </c>
      <c r="D60" s="12" t="inlineStr"/>
    </row>
    <row r="61">
      <c r="A61" s="14" t="n">
        <v>8500000</v>
      </c>
      <c r="B61" s="14">
        <f>A61*'盈亏平衡计算'!B19-'盈亏平衡计算'!B18</f>
        <v/>
      </c>
      <c r="C61" s="14" t="n">
        <v>0</v>
      </c>
      <c r="D61" s="12" t="inlineStr"/>
    </row>
    <row r="62">
      <c r="A62" s="14" t="n">
        <v>9000000</v>
      </c>
      <c r="B62" s="14">
        <f>A62*'盈亏平衡计算'!B19-'盈亏平衡计算'!B18</f>
        <v/>
      </c>
      <c r="C62" s="14" t="n">
        <v>0</v>
      </c>
      <c r="D62" s="12" t="inlineStr"/>
    </row>
    <row r="63">
      <c r="A63" s="14" t="n">
        <v>9500000</v>
      </c>
      <c r="B63" s="14">
        <f>A63*'盈亏平衡计算'!B19-'盈亏平衡计算'!B18</f>
        <v/>
      </c>
      <c r="C63" s="14" t="n">
        <v>0</v>
      </c>
      <c r="D63" s="12" t="inlineStr"/>
    </row>
    <row r="64">
      <c r="A64" s="14" t="n">
        <v>10000000</v>
      </c>
      <c r="B64" s="14">
        <f>A64*'盈亏平衡计算'!B19-'盈亏平衡计算'!B18</f>
        <v/>
      </c>
      <c r="C64" s="14" t="n">
        <v>0</v>
      </c>
      <c r="D64" s="12" t="inlineStr"/>
    </row>
    <row r="65">
      <c r="A65" s="14">
        <f>'盈亏平衡计算'!B20</f>
        <v/>
      </c>
      <c r="B65" s="14" t="n">
        <v>0</v>
      </c>
      <c r="C65" s="14" t="n">
        <v>0</v>
      </c>
      <c r="D65" s="12" t="inlineStr">
        <is>
          <t>BEP</t>
        </is>
      </c>
    </row>
    <row r="66">
      <c r="A66" s="14">
        <f>'产品参数'!B20</f>
        <v/>
      </c>
      <c r="B66" s="14">
        <f>A66*'盈亏平衡计算'!B19-'盈亏平衡计算'!B18</f>
        <v/>
      </c>
      <c r="C66" s="14" t="n">
        <v>0</v>
      </c>
      <c r="D66" s="12" t="inlineStr">
        <is>
          <t>当前</t>
        </is>
      </c>
    </row>
    <row r="88">
      <c r="A88" s="10" t="inlineStr">
        <is>
          <t>图C: 等利润线数据</t>
        </is>
      </c>
    </row>
    <row r="89">
      <c r="A89" s="16" t="inlineStr">
        <is>
          <t>关键参数</t>
        </is>
      </c>
      <c r="B89" s="17">
        <f>'盈亏平衡计算'!B18</f>
        <v/>
      </c>
    </row>
    <row r="90">
      <c r="A90" s="12" t="inlineStr">
        <is>
          <t>* 需弥补缺口</t>
        </is>
      </c>
      <c r="B90" s="14">
        <f>'盈亏平衡计算'!B18</f>
        <v/>
      </c>
    </row>
    <row r="91">
      <c r="A91" s="12" t="inlineStr">
        <is>
          <t>120单位毛利</t>
        </is>
      </c>
      <c r="B91" s="14">
        <f>'产品参数'!B10</f>
        <v/>
      </c>
    </row>
    <row r="92">
      <c r="A92" s="12" t="inlineStr">
        <is>
          <t>155单位毛利</t>
        </is>
      </c>
      <c r="B92" s="14">
        <f>'产品参数'!C10</f>
        <v/>
      </c>
    </row>
    <row r="94">
      <c r="A94" s="11" t="inlineStr">
        <is>
          <t>155年销量</t>
        </is>
      </c>
      <c r="B94" s="11" t="inlineStr">
        <is>
          <t>120年销量(BEP线)</t>
        </is>
      </c>
      <c r="C94" s="11" t="inlineStr">
        <is>
          <t>利润(验证~0)</t>
        </is>
      </c>
    </row>
    <row r="95">
      <c r="A95" s="14" t="n">
        <v>0</v>
      </c>
      <c r="B95" s="14">
        <f>MAX(0,ROUND(('盈亏平衡计算'!B18-A95*'产品参数'!C10)/'产品参数'!B10,0))</f>
        <v/>
      </c>
      <c r="C95" s="14">
        <f>B95*'产品参数'!B10+A95*'产品参数'!C10-'盈亏平衡计算'!B18</f>
        <v/>
      </c>
    </row>
    <row r="96">
      <c r="A96" s="14" t="n">
        <v>50</v>
      </c>
      <c r="B96" s="14">
        <f>MAX(0,ROUND(('盈亏平衡计算'!B18-A96*'产品参数'!C10)/'产品参数'!B10,0))</f>
        <v/>
      </c>
      <c r="C96" s="14">
        <f>B96*'产品参数'!B10+A96*'产品参数'!C10-'盈亏平衡计算'!B18</f>
        <v/>
      </c>
    </row>
    <row r="97">
      <c r="A97" s="14" t="n">
        <v>100</v>
      </c>
      <c r="B97" s="14">
        <f>MAX(0,ROUND(('盈亏平衡计算'!B18-A97*'产品参数'!C10)/'产品参数'!B10,0))</f>
        <v/>
      </c>
      <c r="C97" s="14">
        <f>B97*'产品参数'!B10+A97*'产品参数'!C10-'盈亏平衡计算'!B18</f>
        <v/>
      </c>
    </row>
    <row r="98">
      <c r="A98" s="14" t="n">
        <v>150</v>
      </c>
      <c r="B98" s="14">
        <f>MAX(0,ROUND(('盈亏平衡计算'!B18-A98*'产品参数'!C10)/'产品参数'!B10,0))</f>
        <v/>
      </c>
      <c r="C98" s="14">
        <f>B98*'产品参数'!B10+A98*'产品参数'!C10-'盈亏平衡计算'!B18</f>
        <v/>
      </c>
    </row>
    <row r="99">
      <c r="A99" s="14" t="n">
        <v>200</v>
      </c>
      <c r="B99" s="14">
        <f>MAX(0,ROUND(('盈亏平衡计算'!B18-A99*'产品参数'!C10)/'产品参数'!B10,0))</f>
        <v/>
      </c>
      <c r="C99" s="14">
        <f>B99*'产品参数'!B10+A99*'产品参数'!C10-'盈亏平衡计算'!B18</f>
        <v/>
      </c>
    </row>
    <row r="100">
      <c r="A100" s="14" t="n">
        <v>250</v>
      </c>
      <c r="B100" s="14">
        <f>MAX(0,ROUND(('盈亏平衡计算'!B18-A100*'产品参数'!C10)/'产品参数'!B10,0))</f>
        <v/>
      </c>
      <c r="C100" s="14">
        <f>B100*'产品参数'!B10+A100*'产品参数'!C10-'盈亏平衡计算'!B18</f>
        <v/>
      </c>
    </row>
    <row r="101">
      <c r="A101" s="14" t="n">
        <v>300</v>
      </c>
      <c r="B101" s="14">
        <f>MAX(0,ROUND(('盈亏平衡计算'!B18-A101*'产品参数'!C10)/'产品参数'!B10,0))</f>
        <v/>
      </c>
      <c r="C101" s="14">
        <f>B101*'产品参数'!B10+A101*'产品参数'!C10-'盈亏平衡计算'!B18</f>
        <v/>
      </c>
    </row>
    <row r="102">
      <c r="A102" s="14" t="n">
        <v>350</v>
      </c>
      <c r="B102" s="14">
        <f>MAX(0,ROUND(('盈亏平衡计算'!B18-A102*'产品参数'!C10)/'产品参数'!B10,0))</f>
        <v/>
      </c>
      <c r="C102" s="14">
        <f>B102*'产品参数'!B10+A102*'产品参数'!C10-'盈亏平衡计算'!B18</f>
        <v/>
      </c>
    </row>
    <row r="103">
      <c r="A103" s="14" t="n">
        <v>400</v>
      </c>
      <c r="B103" s="14">
        <f>MAX(0,ROUND(('盈亏平衡计算'!B18-A103*'产品参数'!C10)/'产品参数'!B10,0))</f>
        <v/>
      </c>
      <c r="C103" s="14">
        <f>B103*'产品参数'!B10+A103*'产品参数'!C10-'盈亏平衡计算'!B18</f>
        <v/>
      </c>
    </row>
    <row r="104">
      <c r="A104" s="14" t="n">
        <v>450</v>
      </c>
      <c r="B104" s="14">
        <f>MAX(0,ROUND(('盈亏平衡计算'!B18-A104*'产品参数'!C10)/'产品参数'!B10,0))</f>
        <v/>
      </c>
      <c r="C104" s="14">
        <f>B104*'产品参数'!B10+A104*'产品参数'!C10-'盈亏平衡计算'!B18</f>
        <v/>
      </c>
    </row>
    <row r="105">
      <c r="A105" s="14" t="n">
        <v>500</v>
      </c>
      <c r="B105" s="14">
        <f>MAX(0,ROUND(('盈亏平衡计算'!B18-A105*'产品参数'!C10)/'产品参数'!B10,0))</f>
        <v/>
      </c>
      <c r="C105" s="14">
        <f>B105*'产品参数'!B10+A105*'产品参数'!C10-'盈亏平衡计算'!B18</f>
        <v/>
      </c>
    </row>
    <row r="106">
      <c r="A106" s="14" t="n">
        <v>550</v>
      </c>
      <c r="B106" s="14">
        <f>MAX(0,ROUND(('盈亏平衡计算'!B18-A106*'产品参数'!C10)/'产品参数'!B10,0))</f>
        <v/>
      </c>
      <c r="C106" s="14">
        <f>B106*'产品参数'!B10+A106*'产品参数'!C10-'盈亏平衡计算'!B18</f>
        <v/>
      </c>
    </row>
    <row r="107">
      <c r="A107" s="14" t="n">
        <v>600</v>
      </c>
      <c r="B107" s="14">
        <f>MAX(0,ROUND(('盈亏平衡计算'!B18-A107*'产品参数'!C10)/'产品参数'!B10,0))</f>
        <v/>
      </c>
      <c r="C107" s="14">
        <f>B107*'产品参数'!B10+A107*'产品参数'!C10-'盈亏平衡计算'!B18</f>
        <v/>
      </c>
    </row>
    <row r="108">
      <c r="A108" s="14" t="n">
        <v>650</v>
      </c>
      <c r="B108" s="14">
        <f>MAX(0,ROUND(('盈亏平衡计算'!B18-A108*'产品参数'!C10)/'产品参数'!B10,0))</f>
        <v/>
      </c>
      <c r="C108" s="14">
        <f>B108*'产品参数'!B10+A108*'产品参数'!C10-'盈亏平衡计算'!B18</f>
        <v/>
      </c>
    </row>
    <row r="109">
      <c r="A109" s="14" t="n">
        <v>700</v>
      </c>
      <c r="B109" s="14">
        <f>MAX(0,ROUND(('盈亏平衡计算'!B18-A109*'产品参数'!C10)/'产品参数'!B10,0))</f>
        <v/>
      </c>
      <c r="C109" s="14">
        <f>B109*'产品参数'!B10+A109*'产品参数'!C10-'盈亏平衡计算'!B18</f>
        <v/>
      </c>
    </row>
    <row r="110">
      <c r="A110" s="14" t="n">
        <v>750</v>
      </c>
      <c r="B110" s="14">
        <f>MAX(0,ROUND(('盈亏平衡计算'!B18-A110*'产品参数'!C10)/'产品参数'!B10,0))</f>
        <v/>
      </c>
      <c r="C110" s="14">
        <f>B110*'产品参数'!B10+A110*'产品参数'!C10-'盈亏平衡计算'!B18</f>
        <v/>
      </c>
    </row>
    <row r="111">
      <c r="A111" s="14" t="n">
        <v>800</v>
      </c>
      <c r="B111" s="14">
        <f>MAX(0,ROUND(('盈亏平衡计算'!B18-A111*'产品参数'!C10)/'产品参数'!B10,0))</f>
        <v/>
      </c>
      <c r="C111" s="14">
        <f>B111*'产品参数'!B10+A111*'产品参数'!C10-'盈亏平衡计算'!B18</f>
        <v/>
      </c>
    </row>
    <row r="112">
      <c r="A112" s="14" t="n">
        <v>850</v>
      </c>
      <c r="B112" s="14">
        <f>MAX(0,ROUND(('盈亏平衡计算'!B18-A112*'产品参数'!C10)/'产品参数'!B10,0))</f>
        <v/>
      </c>
      <c r="C112" s="14">
        <f>B112*'产品参数'!B10+A112*'产品参数'!C10-'盈亏平衡计算'!B18</f>
        <v/>
      </c>
    </row>
    <row r="113">
      <c r="A113" s="14" t="n">
        <v>900</v>
      </c>
      <c r="B113" s="14">
        <f>MAX(0,ROUND(('盈亏平衡计算'!B18-A113*'产品参数'!C10)/'产品参数'!B10,0))</f>
        <v/>
      </c>
      <c r="C113" s="14">
        <f>B113*'产品参数'!B10+A113*'产品参数'!C10-'盈亏平衡计算'!B18</f>
        <v/>
      </c>
    </row>
    <row r="114">
      <c r="A114" s="14" t="n">
        <v>950</v>
      </c>
      <c r="B114" s="14">
        <f>MAX(0,ROUND(('盈亏平衡计算'!B18-A114*'产品参数'!C10)/'产品参数'!B10,0))</f>
        <v/>
      </c>
      <c r="C114" s="14">
        <f>B114*'产品参数'!B10+A114*'产品参数'!C10-'盈亏平衡计算'!B18</f>
        <v/>
      </c>
    </row>
    <row r="115">
      <c r="A115" s="14" t="n">
        <v>1000</v>
      </c>
      <c r="B115" s="14">
        <f>MAX(0,ROUND(('盈亏平衡计算'!B18-A115*'产品参数'!C10)/'产品参数'!B10,0))</f>
        <v/>
      </c>
      <c r="C115" s="14">
        <f>B115*'产品参数'!B10+A115*'产品参数'!C10-'盈亏平衡计算'!B18</f>
        <v/>
      </c>
    </row>
    <row r="116">
      <c r="A116" s="14" t="n">
        <v>1050</v>
      </c>
      <c r="B116" s="14">
        <f>MAX(0,ROUND(('盈亏平衡计算'!B18-A116*'产品参数'!C10)/'产品参数'!B10,0))</f>
        <v/>
      </c>
      <c r="C116" s="14">
        <f>B116*'产品参数'!B10+A116*'产品参数'!C10-'盈亏平衡计算'!B18</f>
        <v/>
      </c>
    </row>
    <row r="117">
      <c r="A117" s="14" t="n">
        <v>1100</v>
      </c>
      <c r="B117" s="14">
        <f>MAX(0,ROUND(('盈亏平衡计算'!B18-A117*'产品参数'!C10)/'产品参数'!B10,0))</f>
        <v/>
      </c>
      <c r="C117" s="14">
        <f>B117*'产品参数'!B10+A117*'产品参数'!C10-'盈亏平衡计算'!B18</f>
        <v/>
      </c>
    </row>
    <row r="118">
      <c r="A118" s="14" t="n">
        <v>1150</v>
      </c>
      <c r="B118" s="14">
        <f>MAX(0,ROUND(('盈亏平衡计算'!B18-A118*'产品参数'!C10)/'产品参数'!B10,0))</f>
        <v/>
      </c>
      <c r="C118" s="14">
        <f>B118*'产品参数'!B10+A118*'产品参数'!C10-'盈亏平衡计算'!B18</f>
        <v/>
      </c>
    </row>
    <row r="119">
      <c r="A119" s="14" t="n">
        <v>1200</v>
      </c>
      <c r="B119" s="14">
        <f>MAX(0,ROUND(('盈亏平衡计算'!B18-A119*'产品参数'!C10)/'产品参数'!B10,0))</f>
        <v/>
      </c>
      <c r="C119" s="14">
        <f>B119*'产品参数'!B10+A119*'产品参数'!C10-'盈亏平衡计算'!B18</f>
        <v/>
      </c>
    </row>
    <row r="120">
      <c r="A120" s="14" t="n">
        <v>1250</v>
      </c>
      <c r="B120" s="14">
        <f>MAX(0,ROUND(('盈亏平衡计算'!B18-A120*'产品参数'!C10)/'产品参数'!B10,0))</f>
        <v/>
      </c>
      <c r="C120" s="14">
        <f>B120*'产品参数'!B10+A120*'产品参数'!C10-'盈亏平衡计算'!B18</f>
        <v/>
      </c>
    </row>
    <row r="121">
      <c r="A121" s="14" t="n">
        <v>1300</v>
      </c>
      <c r="B121" s="14">
        <f>MAX(0,ROUND(('盈亏平衡计算'!B18-A121*'产品参数'!C10)/'产品参数'!B10,0))</f>
        <v/>
      </c>
      <c r="C121" s="14">
        <f>B121*'产品参数'!B10+A121*'产品参数'!C10-'盈亏平衡计算'!B18</f>
        <v/>
      </c>
    </row>
    <row r="122">
      <c r="A122" s="14" t="n">
        <v>1350</v>
      </c>
      <c r="B122" s="14">
        <f>MAX(0,ROUND(('盈亏平衡计算'!B18-A122*'产品参数'!C10)/'产品参数'!B10,0))</f>
        <v/>
      </c>
      <c r="C122" s="14">
        <f>B122*'产品参数'!B10+A122*'产品参数'!C10-'盈亏平衡计算'!B18</f>
        <v/>
      </c>
    </row>
    <row r="123">
      <c r="A123" s="14" t="n">
        <v>1400</v>
      </c>
      <c r="B123" s="14">
        <f>MAX(0,ROUND(('盈亏平衡计算'!B18-A123*'产品参数'!C10)/'产品参数'!B10,0))</f>
        <v/>
      </c>
      <c r="C123" s="14">
        <f>B123*'产品参数'!B10+A123*'产品参数'!C10-'盈亏平衡计算'!B18</f>
        <v/>
      </c>
    </row>
    <row r="124">
      <c r="A124" s="14">
        <f>'产品参数'!C6</f>
        <v/>
      </c>
      <c r="B124" s="14">
        <f>'产品参数'!B6</f>
        <v/>
      </c>
      <c r="C124" s="14">
        <f>B124*'产品参数'!B10+A124*'产品参数'!C10-'盈亏平衡计算'!B18</f>
        <v/>
      </c>
    </row>
    <row r="125">
      <c r="A125" s="14">
        <f>ROUNDUP('盈亏平衡计算'!B20/'产品参数'!C7,0)</f>
        <v/>
      </c>
      <c r="B125" s="14" t="n">
        <v>0</v>
      </c>
      <c r="C125" s="14">
        <f>B125*'产品参数'!B10+A125*'产品参数'!C10-'盈亏平衡计算'!B18</f>
        <v/>
      </c>
    </row>
    <row r="126">
      <c r="A126" s="14" t="n">
        <v>0</v>
      </c>
      <c r="B126" s="14">
        <f>ROUNDUP('盈亏平衡计算'!B20/'产品参数'!B7,0)</f>
        <v/>
      </c>
      <c r="C126" s="14">
        <f>B126*'产品参数'!B10+A126*'产品参数'!C10-'盈亏平衡计算'!B18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2026-06-21T04:09:21Z</dcterms:created>
  <dcterms:modified xsi:type="dcterms:W3CDTF">2026-06-21T04:09:21Z</dcterms:modified>
</cp:coreProperties>
</file>