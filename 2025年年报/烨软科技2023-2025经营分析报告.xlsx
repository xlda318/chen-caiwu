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af051f16874b935/office-claude/claude-work/projects/财务分析/2025年年报/"/>
    </mc:Choice>
  </mc:AlternateContent>
  <xr:revisionPtr revIDLastSave="12" documentId="11_ACC8AC57967A91DD124E4436C9DC034D14E92ED7" xr6:coauthVersionLast="47" xr6:coauthVersionMax="47" xr10:uidLastSave="{D72A579F-CF8F-452E-A22B-AA5DE80392C0}"/>
  <bookViews>
    <workbookView xWindow="-120" yWindow="-120" windowWidth="29040" windowHeight="15720" activeTab="2" xr2:uid="{00000000-000D-0000-FFFF-FFFF00000000}"/>
  </bookViews>
  <sheets>
    <sheet name="经营分析汇总" sheetId="1" r:id="rId1"/>
    <sheet name="利润表明细" sheetId="2" r:id="rId2"/>
    <sheet name="资产负债表明细" sheetId="3" r:id="rId3"/>
    <sheet name="分析结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3" l="1"/>
  <c r="D39" i="3"/>
  <c r="B39" i="3"/>
</calcChain>
</file>

<file path=xl/sharedStrings.xml><?xml version="1.0" encoding="utf-8"?>
<sst xmlns="http://schemas.openxmlformats.org/spreadsheetml/2006/main" count="226" uniqueCount="200">
  <si>
    <t>烨软科技 2023-2025 经营分析报告</t>
  </si>
  <si>
    <t>数据来源：2025年审计报表 + 科目余额表  |  中国会计准则</t>
  </si>
  <si>
    <t>一、盈利能力</t>
  </si>
  <si>
    <t>指标</t>
  </si>
  <si>
    <t>2023</t>
  </si>
  <si>
    <t>2024</t>
  </si>
  <si>
    <t>2025</t>
  </si>
  <si>
    <t>毛利率</t>
  </si>
  <si>
    <t>25.63%</t>
  </si>
  <si>
    <t>29.21%</t>
  </si>
  <si>
    <t>47.84%</t>
  </si>
  <si>
    <t>净利率</t>
  </si>
  <si>
    <t>0.71%</t>
  </si>
  <si>
    <t>-36.02%</t>
  </si>
  <si>
    <t>0.24%</t>
  </si>
  <si>
    <t>营业利润率</t>
  </si>
  <si>
    <t>-38.3%</t>
  </si>
  <si>
    <t>-0.02%</t>
  </si>
  <si>
    <t>期间费用率</t>
  </si>
  <si>
    <t>29.68%</t>
  </si>
  <si>
    <t>67.34%</t>
  </si>
  <si>
    <t>47.7%</t>
  </si>
  <si>
    <t>ROE</t>
  </si>
  <si>
    <t>8.74%</t>
  </si>
  <si>
    <t>-736.05%</t>
  </si>
  <si>
    <t>-2.1%</t>
  </si>
  <si>
    <t>ROA</t>
  </si>
  <si>
    <t>0.59%</t>
  </si>
  <si>
    <t>-10.92%</t>
  </si>
  <si>
    <t>0.09%</t>
  </si>
  <si>
    <t>2024年杜邦拆解</t>
  </si>
  <si>
    <t>净利率-36.02%</t>
  </si>
  <si>
    <t>周转率0.30</t>
  </si>
  <si>
    <t>权益乘数68.28</t>
  </si>
  <si>
    <t>2024年杜邦ROE</t>
  </si>
  <si>
    <t>2025年杜邦拆解</t>
  </si>
  <si>
    <t>净利率0.24%</t>
  </si>
  <si>
    <t>周转率0.35</t>
  </si>
  <si>
    <t>权益乘数-24.49</t>
  </si>
  <si>
    <t>2025年杜邦ROE</t>
  </si>
  <si>
    <t>-2.10%</t>
  </si>
  <si>
    <t>二、营运能力</t>
  </si>
  <si>
    <t>存货周转率</t>
  </si>
  <si>
    <t>1.93</t>
  </si>
  <si>
    <t>0.71</t>
  </si>
  <si>
    <t>0.52</t>
  </si>
  <si>
    <t>存货周转天数</t>
  </si>
  <si>
    <t>189天</t>
  </si>
  <si>
    <t>515天</t>
  </si>
  <si>
    <t>707天</t>
  </si>
  <si>
    <t>应收账款周转率</t>
  </si>
  <si>
    <t>3.18</t>
  </si>
  <si>
    <t>1.18</t>
  </si>
  <si>
    <t>1.65</t>
  </si>
  <si>
    <t>应收账款周转天数</t>
  </si>
  <si>
    <t>115天</t>
  </si>
  <si>
    <t>310天</t>
  </si>
  <si>
    <t>221天</t>
  </si>
  <si>
    <t>总资产周转率</t>
  </si>
  <si>
    <t>0.83</t>
  </si>
  <si>
    <t>0.30</t>
  </si>
  <si>
    <t>0.35</t>
  </si>
  <si>
    <t>总资产周转天数</t>
  </si>
  <si>
    <t>440天</t>
  </si>
  <si>
    <t>1220天</t>
  </si>
  <si>
    <t>1041天</t>
  </si>
  <si>
    <t>三、偿债能力</t>
  </si>
  <si>
    <t>流动比率</t>
  </si>
  <si>
    <t>1.02</t>
  </si>
  <si>
    <t>0.88</t>
  </si>
  <si>
    <t>0.91</t>
  </si>
  <si>
    <t>速动比率</t>
  </si>
  <si>
    <t>0.67</t>
  </si>
  <si>
    <t>0.61</t>
  </si>
  <si>
    <t>0.49</t>
  </si>
  <si>
    <t>资产负债率</t>
  </si>
  <si>
    <t>93.25</t>
  </si>
  <si>
    <t>103.96</t>
  </si>
  <si>
    <t>104.22</t>
  </si>
  <si>
    <t>产权比率</t>
  </si>
  <si>
    <t>13.81</t>
  </si>
  <si>
    <t>-26.25</t>
  </si>
  <si>
    <t>-24.72</t>
  </si>
  <si>
    <t>利息保障倍数</t>
  </si>
  <si>
    <t>1.8</t>
  </si>
  <si>
    <t>-10.9</t>
  </si>
  <si>
    <t>1.1</t>
  </si>
  <si>
    <t>四、成长能力</t>
  </si>
  <si>
    <t>2023→2024</t>
  </si>
  <si>
    <t>2024→2025</t>
  </si>
  <si>
    <t>2023-2025 CAGR</t>
  </si>
  <si>
    <t>收入增长率</t>
  </si>
  <si>
    <t>-64.37%</t>
  </si>
  <si>
    <t>11.02%</t>
  </si>
  <si>
    <t>-37.11%</t>
  </si>
  <si>
    <t>净利润增长率</t>
  </si>
  <si>
    <t>-1904.07%</t>
  </si>
  <si>
    <t>100.75%</t>
  </si>
  <si>
    <t>-63.17%</t>
  </si>
  <si>
    <t>营业收入(万元)</t>
  </si>
  <si>
    <t>2020.46</t>
  </si>
  <si>
    <t>719.85</t>
  </si>
  <si>
    <t>799.17</t>
  </si>
  <si>
    <t>净利润(万元)</t>
  </si>
  <si>
    <t>14.37</t>
  </si>
  <si>
    <t>-259.31</t>
  </si>
  <si>
    <t>1.95</t>
  </si>
  <si>
    <t>利润表及结构分析</t>
  </si>
  <si>
    <t>项目</t>
  </si>
  <si>
    <t>24vs23变动</t>
  </si>
  <si>
    <t>25vs24变动</t>
  </si>
  <si>
    <t>营业收入</t>
  </si>
  <si>
    <t>营业成本</t>
  </si>
  <si>
    <t>税金及附加</t>
  </si>
  <si>
    <t>销售费用</t>
  </si>
  <si>
    <t>管理费用</t>
  </si>
  <si>
    <t>研发费用</t>
  </si>
  <si>
    <t>财务费用</t>
  </si>
  <si>
    <t>营业利润</t>
  </si>
  <si>
    <t>营业外收入</t>
  </si>
  <si>
    <t>营业外支出</t>
  </si>
  <si>
    <t>利润总额</t>
  </si>
  <si>
    <t>净利润</t>
  </si>
  <si>
    <t>25.6%</t>
  </si>
  <si>
    <t>29.2%</t>
  </si>
  <si>
    <t>47.8%</t>
  </si>
  <si>
    <t>销售费用占收入比</t>
  </si>
  <si>
    <t>2.1%</t>
  </si>
  <si>
    <t>5.6%</t>
  </si>
  <si>
    <t>2.9%</t>
  </si>
  <si>
    <t>管理费用占收入比</t>
  </si>
  <si>
    <t>9.9%</t>
  </si>
  <si>
    <t>31.0%</t>
  </si>
  <si>
    <t>29.3%</t>
  </si>
  <si>
    <t>研发费用占收入比</t>
  </si>
  <si>
    <t>16.7%</t>
  </si>
  <si>
    <t>27.8%</t>
  </si>
  <si>
    <t>12.8%</t>
  </si>
  <si>
    <t>29.7%</t>
  </si>
  <si>
    <t>67.3%</t>
  </si>
  <si>
    <t>资产类</t>
  </si>
  <si>
    <t>2023末</t>
  </si>
  <si>
    <t>2024末</t>
  </si>
  <si>
    <t>2025末</t>
  </si>
  <si>
    <t>货币资金</t>
  </si>
  <si>
    <t>应收票据</t>
  </si>
  <si>
    <t>应收账款</t>
  </si>
  <si>
    <t>预付款项</t>
  </si>
  <si>
    <t>其他应收款</t>
  </si>
  <si>
    <t>存货</t>
  </si>
  <si>
    <t>流动资产合计</t>
  </si>
  <si>
    <t>固定资产</t>
  </si>
  <si>
    <t>无形资产</t>
  </si>
  <si>
    <t>长期待摊费用</t>
  </si>
  <si>
    <t>非流动资产合计</t>
  </si>
  <si>
    <t>资产总计</t>
  </si>
  <si>
    <t>负债类</t>
  </si>
  <si>
    <t>短期借款</t>
  </si>
  <si>
    <t>应付账款</t>
  </si>
  <si>
    <t>预收款项</t>
  </si>
  <si>
    <t>应付职工薪酬</t>
  </si>
  <si>
    <t>应交税费</t>
  </si>
  <si>
    <t>其他应付款</t>
  </si>
  <si>
    <t>流动负债合计</t>
  </si>
  <si>
    <t>负债合计</t>
  </si>
  <si>
    <t>权益类</t>
  </si>
  <si>
    <t>实收资本</t>
  </si>
  <si>
    <t>未分配利润</t>
  </si>
  <si>
    <t>所有者权益合计</t>
  </si>
  <si>
    <t>烨软科技 2023-2025 经营分析结论</t>
  </si>
  <si>
    <t>【一、盈利能力】</t>
  </si>
  <si>
    <t>结论：2024年大幅亏损后，2025年扭亏为盈，但净利仅1.95万，盈利能力极弱。</t>
  </si>
  <si>
    <t>毛利率：2023年25.6% → 2024年29.2% → 2025年47.8%，毛利率显著改善，主业盈利能力在提升。</t>
  </si>
  <si>
    <t>净利率：2023年0.7% → 2024年-36.0% → 2025年0.2%，2024年巨亏主因收入大幅下滑(-64.4%)但费用刚性。</t>
  </si>
  <si>
    <t>ROE：2023年8.7% → 2024年剧烈转负 → 2025年转正2.1%，净资产连续为负，股东权益深度亏损。</t>
  </si>
  <si>
    <t>期间费用率：2023年29.6% → 2024年67.3% → 2025年47.7%，费用率仍处高位。</t>
  </si>
  <si>
    <t>杜邦分析(2025)：净利率0.24% × 总资产周转率0.37 × 权益乘数[-] → ROE 2.1%，低利润率+低周转拖累回报。</t>
  </si>
  <si>
    <t>【二、营运能力】</t>
  </si>
  <si>
    <t>存货周转天数：2023年190天 → 2024年513天 → 2025年724天，存货积压持续恶化。</t>
  </si>
  <si>
    <t>应收账款周转天数：2023年115天 → 2024年303天 → 2025年221天，2025年有所改善但仍处高位。</t>
  </si>
  <si>
    <t>总资产周转率：2023年0.83 → 2024年0.30 → 2025年0.37，资产使用效率显著低于正常水平(&lt;0.5)。</t>
  </si>
  <si>
    <t>营运能力全面恶化，存货和应收占压大量资金，是现金流紧张的根本原因。</t>
  </si>
  <si>
    <t>【三、偿债能力】</t>
  </si>
  <si>
    <t>流动比率：2023年1.02 → 2024年0.88 → 2025年0.91，持续低于1，短期偿债压力大。</t>
  </si>
  <si>
    <t>速动比率：2023年0.67 → 2024年0.61 → 2025年0.49，持续下降，扣除存货后几乎无短期偿债能力。</t>
  </si>
  <si>
    <t>资产负债率：2023年93.2% → 2024年103.9% → 2025年104.2%，资不抵债持续恶化。</t>
  </si>
  <si>
    <t>利息保障倍数：2024年-10.9 → 2025年1.09，2024年利润无法覆盖利息，2025年仅勉强覆盖。</t>
  </si>
  <si>
    <t>⚠️ 公司已资不抵债，短期借款586万+应付账款1540万=2126万，而货币资金仅6.6万。</t>
  </si>
  <si>
    <t>【四、成长能力】</t>
  </si>
  <si>
    <t>营业收入：2023年2,020万 → 2024年720万(-64.4%) → 2025年799万(+11.0%)</t>
  </si>
  <si>
    <t>净利润：2023年14.4万 → 2024年-259.3万(亏损) → 2025年1.9万(扭亏)</t>
  </si>
  <si>
    <t>收入在2024年断崖式下降后，2025年小幅反弹，但远未恢复至2023年水平。</t>
  </si>
  <si>
    <t>研发费用从2023年338万降至2025年103万(-69.5%)，研发收缩可能影响未来竞争力。</t>
  </si>
  <si>
    <t>【五、综合风险提示】</t>
  </si>
  <si>
    <t>🔴 资不抵债（负债率104.2%），净资产-92万，持续经营能力存在重大不确定性</t>
  </si>
  <si>
    <t>🔴 货币资金仅6.6万，应付账款1540万，短期借款586万，流动性高度紧张</t>
  </si>
  <si>
    <t>🔴 经营现金流三年中有两年为负（2024年109万正→2025年-272万负），造血能力不足</t>
  </si>
  <si>
    <t>🟡 研发费用持续压缩(338→200→103万)，技术型公司研发收缩影响长期竞争力</t>
  </si>
  <si>
    <t>🟡 存货占比资产43.8%，且周转天数长达724天，存在跌价风险</t>
  </si>
  <si>
    <t>🟡 利润率极薄（0.2%），抗风险能力弱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</si>
</sst>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i/>
      <sz val="9"/>
      <color rgb="FF80804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2F5496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43" fontId="0" fillId="0" borderId="0" xfId="1" applyFont="1" applyAlignment="1"/>
    <xf numFmtId="43" fontId="3" fillId="2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8" fillId="0" borderId="0" xfId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D25" sqref="D25"/>
    </sheetView>
  </sheetViews>
  <sheetFormatPr defaultRowHeight="13.5" x14ac:dyDescent="0.15"/>
  <cols>
    <col min="1" max="1" width="28" customWidth="1"/>
    <col min="2" max="4" width="18" customWidth="1"/>
  </cols>
  <sheetData>
    <row r="1" spans="1:4" ht="21" x14ac:dyDescent="0.4">
      <c r="A1" s="1" t="s">
        <v>0</v>
      </c>
    </row>
    <row r="2" spans="1:4" ht="15.75" x14ac:dyDescent="0.3">
      <c r="A2" s="2" t="s">
        <v>1</v>
      </c>
    </row>
    <row r="4" spans="1:4" ht="21" x14ac:dyDescent="0.4">
      <c r="A4" s="1" t="s">
        <v>2</v>
      </c>
    </row>
    <row r="5" spans="1:4" ht="15" x14ac:dyDescent="0.15">
      <c r="A5" s="3" t="s">
        <v>3</v>
      </c>
      <c r="B5" s="3" t="s">
        <v>4</v>
      </c>
      <c r="C5" s="3" t="s">
        <v>5</v>
      </c>
      <c r="D5" s="3" t="s">
        <v>6</v>
      </c>
    </row>
    <row r="6" spans="1:4" ht="16.5" x14ac:dyDescent="0.15">
      <c r="A6" s="4" t="s">
        <v>7</v>
      </c>
      <c r="B6" s="4" t="s">
        <v>8</v>
      </c>
      <c r="C6" s="4" t="s">
        <v>9</v>
      </c>
      <c r="D6" s="4" t="s">
        <v>10</v>
      </c>
    </row>
    <row r="7" spans="1:4" ht="16.5" x14ac:dyDescent="0.15">
      <c r="A7" s="4" t="s">
        <v>11</v>
      </c>
      <c r="B7" s="4" t="s">
        <v>12</v>
      </c>
      <c r="C7" s="4" t="s">
        <v>13</v>
      </c>
      <c r="D7" s="4" t="s">
        <v>14</v>
      </c>
    </row>
    <row r="8" spans="1:4" ht="16.5" x14ac:dyDescent="0.15">
      <c r="A8" s="4" t="s">
        <v>15</v>
      </c>
      <c r="B8" s="4" t="s">
        <v>12</v>
      </c>
      <c r="C8" s="4" t="s">
        <v>16</v>
      </c>
      <c r="D8" s="4" t="s">
        <v>17</v>
      </c>
    </row>
    <row r="9" spans="1:4" ht="16.5" x14ac:dyDescent="0.15">
      <c r="A9" s="4" t="s">
        <v>18</v>
      </c>
      <c r="B9" s="4" t="s">
        <v>19</v>
      </c>
      <c r="C9" s="4" t="s">
        <v>20</v>
      </c>
      <c r="D9" s="4" t="s">
        <v>21</v>
      </c>
    </row>
    <row r="10" spans="1:4" ht="16.5" x14ac:dyDescent="0.15">
      <c r="A10" s="4" t="s">
        <v>22</v>
      </c>
      <c r="B10" s="4" t="s">
        <v>23</v>
      </c>
      <c r="C10" s="4" t="s">
        <v>24</v>
      </c>
      <c r="D10" s="4" t="s">
        <v>25</v>
      </c>
    </row>
    <row r="11" spans="1:4" ht="16.5" x14ac:dyDescent="0.15">
      <c r="A11" s="4" t="s">
        <v>26</v>
      </c>
      <c r="B11" s="4" t="s">
        <v>27</v>
      </c>
      <c r="C11" s="4" t="s">
        <v>28</v>
      </c>
      <c r="D11" s="4" t="s">
        <v>29</v>
      </c>
    </row>
    <row r="12" spans="1:4" ht="16.5" x14ac:dyDescent="0.15">
      <c r="A12" s="4" t="s">
        <v>30</v>
      </c>
      <c r="B12" s="4" t="s">
        <v>31</v>
      </c>
      <c r="C12" s="4" t="s">
        <v>32</v>
      </c>
      <c r="D12" s="4" t="s">
        <v>33</v>
      </c>
    </row>
    <row r="13" spans="1:4" ht="16.5" x14ac:dyDescent="0.15">
      <c r="A13" s="4" t="s">
        <v>34</v>
      </c>
      <c r="B13" s="4"/>
      <c r="C13" s="4"/>
      <c r="D13" s="4" t="s">
        <v>24</v>
      </c>
    </row>
    <row r="14" spans="1:4" ht="16.5" x14ac:dyDescent="0.15">
      <c r="A14" s="4" t="s">
        <v>35</v>
      </c>
      <c r="B14" s="4" t="s">
        <v>36</v>
      </c>
      <c r="C14" s="4" t="s">
        <v>37</v>
      </c>
      <c r="D14" s="4" t="s">
        <v>38</v>
      </c>
    </row>
    <row r="15" spans="1:4" ht="16.5" x14ac:dyDescent="0.15">
      <c r="A15" s="4" t="s">
        <v>39</v>
      </c>
      <c r="B15" s="4"/>
      <c r="C15" s="4"/>
      <c r="D15" s="4" t="s">
        <v>40</v>
      </c>
    </row>
    <row r="18" spans="1:4" ht="21" x14ac:dyDescent="0.4">
      <c r="A18" s="1" t="s">
        <v>41</v>
      </c>
    </row>
    <row r="19" spans="1:4" ht="15" x14ac:dyDescent="0.15">
      <c r="A19" s="3" t="s">
        <v>3</v>
      </c>
      <c r="B19" s="3" t="s">
        <v>4</v>
      </c>
      <c r="C19" s="3" t="s">
        <v>5</v>
      </c>
      <c r="D19" s="3" t="s">
        <v>6</v>
      </c>
    </row>
    <row r="20" spans="1:4" ht="16.5" x14ac:dyDescent="0.15">
      <c r="A20" s="4" t="s">
        <v>42</v>
      </c>
      <c r="B20" s="4" t="s">
        <v>43</v>
      </c>
      <c r="C20" s="4" t="s">
        <v>44</v>
      </c>
      <c r="D20" s="4" t="s">
        <v>45</v>
      </c>
    </row>
    <row r="21" spans="1:4" ht="16.5" x14ac:dyDescent="0.15">
      <c r="A21" s="4" t="s">
        <v>46</v>
      </c>
      <c r="B21" s="4" t="s">
        <v>47</v>
      </c>
      <c r="C21" s="4" t="s">
        <v>48</v>
      </c>
      <c r="D21" s="4" t="s">
        <v>49</v>
      </c>
    </row>
    <row r="22" spans="1:4" ht="16.5" x14ac:dyDescent="0.15">
      <c r="A22" s="4" t="s">
        <v>50</v>
      </c>
      <c r="B22" s="4" t="s">
        <v>51</v>
      </c>
      <c r="C22" s="4" t="s">
        <v>52</v>
      </c>
      <c r="D22" s="4" t="s">
        <v>53</v>
      </c>
    </row>
    <row r="23" spans="1:4" ht="16.5" x14ac:dyDescent="0.15">
      <c r="A23" s="4" t="s">
        <v>54</v>
      </c>
      <c r="B23" s="4" t="s">
        <v>55</v>
      </c>
      <c r="C23" s="4" t="s">
        <v>56</v>
      </c>
      <c r="D23" s="4" t="s">
        <v>57</v>
      </c>
    </row>
    <row r="24" spans="1:4" ht="16.5" x14ac:dyDescent="0.15">
      <c r="A24" s="4" t="s">
        <v>58</v>
      </c>
      <c r="B24" s="4" t="s">
        <v>59</v>
      </c>
      <c r="C24" s="4" t="s">
        <v>60</v>
      </c>
      <c r="D24" s="4" t="s">
        <v>61</v>
      </c>
    </row>
    <row r="25" spans="1:4" ht="16.5" x14ac:dyDescent="0.15">
      <c r="A25" s="4" t="s">
        <v>62</v>
      </c>
      <c r="B25" s="4" t="s">
        <v>63</v>
      </c>
      <c r="C25" s="4" t="s">
        <v>64</v>
      </c>
      <c r="D25" s="4" t="s">
        <v>65</v>
      </c>
    </row>
    <row r="28" spans="1:4" ht="21" x14ac:dyDescent="0.4">
      <c r="A28" s="1" t="s">
        <v>66</v>
      </c>
    </row>
    <row r="29" spans="1:4" ht="15" x14ac:dyDescent="0.15">
      <c r="A29" s="3" t="s">
        <v>3</v>
      </c>
      <c r="B29" s="3" t="s">
        <v>4</v>
      </c>
      <c r="C29" s="3" t="s">
        <v>5</v>
      </c>
      <c r="D29" s="3" t="s">
        <v>6</v>
      </c>
    </row>
    <row r="30" spans="1:4" ht="16.5" x14ac:dyDescent="0.15">
      <c r="A30" s="4" t="s">
        <v>67</v>
      </c>
      <c r="B30" s="4" t="s">
        <v>68</v>
      </c>
      <c r="C30" s="4" t="s">
        <v>69</v>
      </c>
      <c r="D30" s="4" t="s">
        <v>70</v>
      </c>
    </row>
    <row r="31" spans="1:4" ht="16.5" x14ac:dyDescent="0.15">
      <c r="A31" s="4" t="s">
        <v>71</v>
      </c>
      <c r="B31" s="4" t="s">
        <v>72</v>
      </c>
      <c r="C31" s="4" t="s">
        <v>73</v>
      </c>
      <c r="D31" s="4" t="s">
        <v>74</v>
      </c>
    </row>
    <row r="32" spans="1:4" ht="16.5" x14ac:dyDescent="0.15">
      <c r="A32" s="4" t="s">
        <v>75</v>
      </c>
      <c r="B32" s="4" t="s">
        <v>76</v>
      </c>
      <c r="C32" s="4" t="s">
        <v>77</v>
      </c>
      <c r="D32" s="4" t="s">
        <v>78</v>
      </c>
    </row>
    <row r="33" spans="1:4" ht="16.5" x14ac:dyDescent="0.15">
      <c r="A33" s="4" t="s">
        <v>79</v>
      </c>
      <c r="B33" s="4" t="s">
        <v>80</v>
      </c>
      <c r="C33" s="4" t="s">
        <v>81</v>
      </c>
      <c r="D33" s="4" t="s">
        <v>82</v>
      </c>
    </row>
    <row r="34" spans="1:4" ht="16.5" x14ac:dyDescent="0.15">
      <c r="A34" s="4" t="s">
        <v>83</v>
      </c>
      <c r="B34" s="4" t="s">
        <v>84</v>
      </c>
      <c r="C34" s="4" t="s">
        <v>85</v>
      </c>
      <c r="D34" s="4" t="s">
        <v>86</v>
      </c>
    </row>
    <row r="37" spans="1:4" ht="21" x14ac:dyDescent="0.4">
      <c r="A37" s="1" t="s">
        <v>87</v>
      </c>
    </row>
    <row r="38" spans="1:4" ht="15" x14ac:dyDescent="0.15">
      <c r="A38" s="3" t="s">
        <v>3</v>
      </c>
      <c r="B38" s="3" t="s">
        <v>88</v>
      </c>
      <c r="C38" s="3" t="s">
        <v>89</v>
      </c>
      <c r="D38" s="3" t="s">
        <v>90</v>
      </c>
    </row>
    <row r="39" spans="1:4" ht="16.5" x14ac:dyDescent="0.15">
      <c r="A39" s="4" t="s">
        <v>91</v>
      </c>
      <c r="B39" s="4" t="s">
        <v>92</v>
      </c>
      <c r="C39" s="4" t="s">
        <v>93</v>
      </c>
      <c r="D39" s="4" t="s">
        <v>94</v>
      </c>
    </row>
    <row r="40" spans="1:4" ht="16.5" x14ac:dyDescent="0.15">
      <c r="A40" s="4" t="s">
        <v>95</v>
      </c>
      <c r="B40" s="4" t="s">
        <v>96</v>
      </c>
      <c r="C40" s="4" t="s">
        <v>97</v>
      </c>
      <c r="D40" s="4" t="s">
        <v>98</v>
      </c>
    </row>
    <row r="41" spans="1:4" ht="16.5" x14ac:dyDescent="0.15">
      <c r="A41" s="4" t="s">
        <v>99</v>
      </c>
      <c r="B41" s="4" t="s">
        <v>100</v>
      </c>
      <c r="C41" s="4" t="s">
        <v>101</v>
      </c>
      <c r="D41" s="4" t="s">
        <v>102</v>
      </c>
    </row>
    <row r="42" spans="1:4" ht="16.5" x14ac:dyDescent="0.15">
      <c r="A42" s="4" t="s">
        <v>103</v>
      </c>
      <c r="B42" s="4" t="s">
        <v>104</v>
      </c>
      <c r="C42" s="4" t="s">
        <v>105</v>
      </c>
      <c r="D42" s="4" t="s">
        <v>106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C35" sqref="C35"/>
    </sheetView>
  </sheetViews>
  <sheetFormatPr defaultRowHeight="13.5" x14ac:dyDescent="0.15"/>
  <cols>
    <col min="1" max="1" width="21.875" bestFit="1" customWidth="1"/>
    <col min="2" max="2" width="12.875" bestFit="1" customWidth="1"/>
    <col min="3" max="3" width="12.625" bestFit="1" customWidth="1"/>
    <col min="4" max="4" width="11.75" bestFit="1" customWidth="1"/>
    <col min="5" max="5" width="13.75" bestFit="1" customWidth="1"/>
    <col min="6" max="6" width="11.75" bestFit="1" customWidth="1"/>
  </cols>
  <sheetData>
    <row r="1" spans="1:10" ht="21" x14ac:dyDescent="0.4">
      <c r="A1" s="1" t="s">
        <v>107</v>
      </c>
    </row>
    <row r="2" spans="1:10" ht="15" x14ac:dyDescent="0.15">
      <c r="A2" s="3" t="s">
        <v>108</v>
      </c>
      <c r="B2" s="3" t="s">
        <v>4</v>
      </c>
      <c r="C2" s="3" t="s">
        <v>5</v>
      </c>
      <c r="D2" s="3" t="s">
        <v>6</v>
      </c>
      <c r="E2" s="3" t="s">
        <v>109</v>
      </c>
      <c r="F2" s="3" t="s">
        <v>110</v>
      </c>
    </row>
    <row r="3" spans="1:10" ht="16.5" x14ac:dyDescent="0.35">
      <c r="A3" s="4" t="s">
        <v>111</v>
      </c>
      <c r="B3" s="10">
        <v>2020.4627210000001</v>
      </c>
      <c r="C3" s="10">
        <v>719.84651500000007</v>
      </c>
      <c r="D3" s="10">
        <v>799.17089900000008</v>
      </c>
      <c r="E3" s="10">
        <v>-1300.6162060000001</v>
      </c>
      <c r="F3" s="10">
        <v>79.324383999999995</v>
      </c>
    </row>
    <row r="4" spans="1:10" ht="16.5" x14ac:dyDescent="0.35">
      <c r="A4" s="4" t="s">
        <v>112</v>
      </c>
      <c r="B4" s="10">
        <v>1502.700789</v>
      </c>
      <c r="C4" s="10">
        <v>509.61404699999997</v>
      </c>
      <c r="D4" s="10">
        <v>416.83289500000001</v>
      </c>
      <c r="E4" s="10">
        <v>-993.08674199999996</v>
      </c>
      <c r="F4" s="10">
        <v>-92.781152000000006</v>
      </c>
    </row>
    <row r="5" spans="1:10" ht="16.5" x14ac:dyDescent="0.35">
      <c r="A5" s="4" t="s">
        <v>113</v>
      </c>
      <c r="B5" s="10">
        <v>1.4743310000000001</v>
      </c>
      <c r="C5" s="10">
        <v>1.1800250000000001</v>
      </c>
      <c r="D5" s="10">
        <v>1.3567309999999999</v>
      </c>
      <c r="E5" s="10">
        <v>-0.29430600000000001</v>
      </c>
      <c r="F5" s="10">
        <v>0.176706</v>
      </c>
    </row>
    <row r="6" spans="1:10" ht="16.5" x14ac:dyDescent="0.35">
      <c r="A6" s="4" t="s">
        <v>114</v>
      </c>
      <c r="B6" s="10">
        <v>43.231926000000001</v>
      </c>
      <c r="C6" s="10">
        <v>40.133141999999999</v>
      </c>
      <c r="D6" s="10">
        <v>23.047298999999999</v>
      </c>
      <c r="E6" s="10">
        <v>-3.0987840000000002</v>
      </c>
      <c r="F6" s="10">
        <v>-17.085843000000001</v>
      </c>
    </row>
    <row r="7" spans="1:10" ht="16.5" x14ac:dyDescent="0.35">
      <c r="A7" s="4" t="s">
        <v>115</v>
      </c>
      <c r="B7" s="10">
        <v>199.337254</v>
      </c>
      <c r="C7" s="10">
        <v>222.96300099999999</v>
      </c>
      <c r="D7" s="10">
        <v>234.02549300000001</v>
      </c>
      <c r="E7" s="10">
        <v>23.625747</v>
      </c>
      <c r="F7" s="10">
        <v>11.062492000000001</v>
      </c>
      <c r="J7">
        <v>10000</v>
      </c>
    </row>
    <row r="8" spans="1:10" ht="16.5" x14ac:dyDescent="0.35">
      <c r="A8" s="4" t="s">
        <v>116</v>
      </c>
      <c r="B8" s="10">
        <v>338.26782900000001</v>
      </c>
      <c r="C8" s="10">
        <v>199.82733500000001</v>
      </c>
      <c r="D8" s="10">
        <v>102.58477099999999</v>
      </c>
      <c r="E8" s="10">
        <v>-138.440494</v>
      </c>
      <c r="F8" s="10">
        <v>-97.242564000000002</v>
      </c>
    </row>
    <row r="9" spans="1:10" ht="16.5" x14ac:dyDescent="0.35">
      <c r="A9" s="4" t="s">
        <v>117</v>
      </c>
      <c r="B9" s="10">
        <v>18.758738000000001</v>
      </c>
      <c r="C9" s="10">
        <v>21.835273999999998</v>
      </c>
      <c r="D9" s="10">
        <v>21.509495000000001</v>
      </c>
      <c r="E9" s="10">
        <v>3.0765359999999999</v>
      </c>
      <c r="F9" s="10">
        <v>-0.32577899999999999</v>
      </c>
    </row>
    <row r="10" spans="1:10" ht="16.5" x14ac:dyDescent="0.35">
      <c r="A10" s="4" t="s">
        <v>118</v>
      </c>
      <c r="B10" s="10">
        <v>14.382926000000001</v>
      </c>
      <c r="C10" s="10">
        <v>-275.70630899999998</v>
      </c>
      <c r="D10" s="10">
        <v>-0.18578499999999998</v>
      </c>
      <c r="E10" s="10">
        <v>-290.08923500000003</v>
      </c>
      <c r="F10" s="10">
        <v>275.52052400000002</v>
      </c>
    </row>
    <row r="11" spans="1:10" ht="16.5" x14ac:dyDescent="0.35">
      <c r="A11" s="4" t="s">
        <v>119</v>
      </c>
      <c r="B11" s="10">
        <v>0</v>
      </c>
      <c r="C11" s="10">
        <v>16.425039000000002</v>
      </c>
      <c r="D11" s="10">
        <v>28.017568000000001</v>
      </c>
      <c r="E11" s="10">
        <v>0</v>
      </c>
      <c r="F11" s="10">
        <v>11.592528999999999</v>
      </c>
    </row>
    <row r="12" spans="1:10" ht="16.5" x14ac:dyDescent="0.35">
      <c r="A12" s="4" t="s">
        <v>120</v>
      </c>
      <c r="B12" s="10">
        <v>9.1999999999999998E-3</v>
      </c>
      <c r="C12" s="10">
        <v>3.0950999999999999E-2</v>
      </c>
      <c r="D12" s="10">
        <v>25.882092999999998</v>
      </c>
      <c r="E12" s="10">
        <v>2.1751E-2</v>
      </c>
      <c r="F12" s="10">
        <v>25.851142000000003</v>
      </c>
    </row>
    <row r="13" spans="1:10" ht="16.5" x14ac:dyDescent="0.35">
      <c r="A13" s="4" t="s">
        <v>121</v>
      </c>
      <c r="B13" s="10">
        <v>14.373726000000001</v>
      </c>
      <c r="C13" s="10">
        <v>-259.31222100000002</v>
      </c>
      <c r="D13" s="10">
        <v>1.9496900000000001</v>
      </c>
      <c r="E13" s="10">
        <v>-273.685947</v>
      </c>
      <c r="F13" s="10">
        <v>261.261911</v>
      </c>
    </row>
    <row r="14" spans="1:10" ht="16.5" x14ac:dyDescent="0.35">
      <c r="A14" s="4" t="s">
        <v>122</v>
      </c>
      <c r="B14" s="10">
        <v>14.373726000000001</v>
      </c>
      <c r="C14" s="10">
        <v>-259.31222100000002</v>
      </c>
      <c r="D14" s="10">
        <v>1.9496900000000001</v>
      </c>
      <c r="E14" s="10">
        <v>-273.685947</v>
      </c>
      <c r="F14" s="10">
        <v>261.261911</v>
      </c>
    </row>
    <row r="15" spans="1:10" ht="16.5" x14ac:dyDescent="0.15">
      <c r="A15" s="4" t="s">
        <v>7</v>
      </c>
      <c r="B15" s="4" t="s">
        <v>123</v>
      </c>
      <c r="C15" s="4" t="s">
        <v>124</v>
      </c>
      <c r="D15" s="4" t="s">
        <v>125</v>
      </c>
      <c r="E15" s="4"/>
      <c r="F15" s="4"/>
    </row>
    <row r="16" spans="1:10" ht="16.5" x14ac:dyDescent="0.15">
      <c r="A16" s="4" t="s">
        <v>126</v>
      </c>
      <c r="B16" s="4" t="s">
        <v>127</v>
      </c>
      <c r="C16" s="4" t="s">
        <v>128</v>
      </c>
      <c r="D16" s="4" t="s">
        <v>129</v>
      </c>
      <c r="E16" s="4"/>
      <c r="F16" s="4"/>
    </row>
    <row r="17" spans="1:6" ht="16.5" x14ac:dyDescent="0.15">
      <c r="A17" s="4" t="s">
        <v>130</v>
      </c>
      <c r="B17" s="4" t="s">
        <v>131</v>
      </c>
      <c r="C17" s="4" t="s">
        <v>132</v>
      </c>
      <c r="D17" s="4" t="s">
        <v>133</v>
      </c>
      <c r="E17" s="4"/>
      <c r="F17" s="4"/>
    </row>
    <row r="18" spans="1:6" ht="16.5" x14ac:dyDescent="0.15">
      <c r="A18" s="4" t="s">
        <v>134</v>
      </c>
      <c r="B18" s="4" t="s">
        <v>135</v>
      </c>
      <c r="C18" s="4" t="s">
        <v>136</v>
      </c>
      <c r="D18" s="4" t="s">
        <v>137</v>
      </c>
      <c r="E18" s="4"/>
      <c r="F18" s="4"/>
    </row>
    <row r="19" spans="1:6" ht="16.5" x14ac:dyDescent="0.15">
      <c r="A19" s="4" t="s">
        <v>18</v>
      </c>
      <c r="B19" s="4" t="s">
        <v>138</v>
      </c>
      <c r="C19" s="4" t="s">
        <v>139</v>
      </c>
      <c r="D19" s="4" t="s">
        <v>21</v>
      </c>
      <c r="E19" s="4"/>
      <c r="F19" s="4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abSelected="1" workbookViewId="0">
      <selection activeCell="B6" sqref="B6"/>
    </sheetView>
  </sheetViews>
  <sheetFormatPr defaultRowHeight="13.5" x14ac:dyDescent="0.15"/>
  <cols>
    <col min="1" max="1" width="28" customWidth="1"/>
    <col min="2" max="4" width="16" style="7" customWidth="1"/>
  </cols>
  <sheetData>
    <row r="1" spans="1:4" ht="18" x14ac:dyDescent="0.35">
      <c r="A1" s="5" t="s">
        <v>140</v>
      </c>
    </row>
    <row r="2" spans="1:4" ht="21" x14ac:dyDescent="0.4">
      <c r="A2" s="1"/>
    </row>
    <row r="3" spans="1:4" ht="15" x14ac:dyDescent="0.15">
      <c r="A3" s="3" t="s">
        <v>108</v>
      </c>
      <c r="B3" s="8" t="s">
        <v>141</v>
      </c>
      <c r="C3" s="8" t="s">
        <v>142</v>
      </c>
      <c r="D3" s="8" t="s">
        <v>143</v>
      </c>
    </row>
    <row r="4" spans="1:4" ht="16.5" x14ac:dyDescent="0.15">
      <c r="A4" s="4" t="s">
        <v>144</v>
      </c>
      <c r="B4" s="9">
        <v>2486106.08</v>
      </c>
      <c r="C4" s="9">
        <v>5363785.29</v>
      </c>
      <c r="D4" s="9">
        <v>66417.22</v>
      </c>
    </row>
    <row r="5" spans="1:4" ht="16.5" x14ac:dyDescent="0.15">
      <c r="A5" s="4" t="s">
        <v>145</v>
      </c>
      <c r="B5" s="9">
        <v>5162500</v>
      </c>
      <c r="C5" s="9">
        <v>2000000</v>
      </c>
      <c r="D5" s="9">
        <v>5700000</v>
      </c>
    </row>
    <row r="6" spans="1:4" ht="16.5" x14ac:dyDescent="0.15">
      <c r="A6" s="4" t="s">
        <v>146</v>
      </c>
      <c r="B6" s="9">
        <v>6350480</v>
      </c>
      <c r="C6" s="9">
        <v>5891686</v>
      </c>
      <c r="D6" s="9">
        <v>3769386</v>
      </c>
    </row>
    <row r="7" spans="1:4" ht="16.5" x14ac:dyDescent="0.15">
      <c r="A7" s="4" t="s">
        <v>147</v>
      </c>
      <c r="B7" s="9">
        <v>539029.63</v>
      </c>
      <c r="C7" s="9">
        <v>725627.41</v>
      </c>
      <c r="D7" s="9">
        <v>513868.57</v>
      </c>
    </row>
    <row r="8" spans="1:4" ht="16.5" x14ac:dyDescent="0.15">
      <c r="A8" s="4" t="s">
        <v>148</v>
      </c>
      <c r="B8" s="9">
        <v>748667.52</v>
      </c>
      <c r="C8" s="9">
        <v>1126728.1200000001</v>
      </c>
      <c r="D8" s="9">
        <v>998911.84</v>
      </c>
    </row>
    <row r="9" spans="1:4" ht="16.5" x14ac:dyDescent="0.15">
      <c r="A9" s="4" t="s">
        <v>149</v>
      </c>
      <c r="B9" s="9">
        <v>7799514.7300000004</v>
      </c>
      <c r="C9" s="9">
        <v>6586756.6600000001</v>
      </c>
      <c r="D9" s="9">
        <v>9556882.7799999993</v>
      </c>
    </row>
    <row r="10" spans="1:4" ht="16.5" x14ac:dyDescent="0.15">
      <c r="A10" s="4" t="s">
        <v>150</v>
      </c>
      <c r="B10" s="9">
        <v>23086297.960000001</v>
      </c>
      <c r="C10" s="9">
        <v>21694583.48</v>
      </c>
      <c r="D10" s="9">
        <v>20605466.41</v>
      </c>
    </row>
    <row r="11" spans="1:4" ht="16.5" x14ac:dyDescent="0.15">
      <c r="A11" s="4" t="s">
        <v>151</v>
      </c>
      <c r="B11" s="9">
        <v>1434579.6</v>
      </c>
      <c r="C11" s="9">
        <v>704249.66</v>
      </c>
      <c r="D11" s="9">
        <v>655883.75</v>
      </c>
    </row>
    <row r="12" spans="1:4" ht="16.5" x14ac:dyDescent="0.15">
      <c r="A12" s="4" t="s">
        <v>152</v>
      </c>
      <c r="B12" s="9">
        <v>0</v>
      </c>
      <c r="C12" s="9">
        <v>24049.93</v>
      </c>
      <c r="D12" s="9">
        <v>44341.2</v>
      </c>
    </row>
    <row r="13" spans="1:4" ht="16.5" x14ac:dyDescent="0.15">
      <c r="A13" s="4" t="s">
        <v>153</v>
      </c>
      <c r="B13" s="9">
        <v>472458.17</v>
      </c>
      <c r="C13" s="9">
        <v>526312.26</v>
      </c>
      <c r="D13" s="9">
        <v>58881.22</v>
      </c>
    </row>
    <row r="14" spans="1:4" ht="16.5" x14ac:dyDescent="0.15">
      <c r="A14" s="4" t="s">
        <v>154</v>
      </c>
      <c r="B14" s="9">
        <v>1277364.3700000001</v>
      </c>
      <c r="C14" s="9">
        <v>2050512.62</v>
      </c>
      <c r="D14" s="9">
        <v>1233343.3799999999</v>
      </c>
    </row>
    <row r="15" spans="1:4" ht="16.5" x14ac:dyDescent="0.15">
      <c r="A15" s="4" t="s">
        <v>155</v>
      </c>
      <c r="B15" s="9">
        <v>24363662.329999998</v>
      </c>
      <c r="C15" s="9">
        <v>23745096.100000001</v>
      </c>
      <c r="D15" s="9">
        <v>21838809.789999999</v>
      </c>
    </row>
    <row r="18" spans="1:4" ht="18" x14ac:dyDescent="0.35">
      <c r="A18" s="5" t="s">
        <v>156</v>
      </c>
    </row>
    <row r="19" spans="1:4" ht="21" x14ac:dyDescent="0.4">
      <c r="A19" s="1"/>
    </row>
    <row r="20" spans="1:4" ht="15" x14ac:dyDescent="0.15">
      <c r="A20" s="3" t="s">
        <v>108</v>
      </c>
      <c r="B20" s="8" t="s">
        <v>141</v>
      </c>
      <c r="C20" s="8" t="s">
        <v>142</v>
      </c>
      <c r="D20" s="8" t="s">
        <v>143</v>
      </c>
    </row>
    <row r="21" spans="1:4" ht="16.5" x14ac:dyDescent="0.15">
      <c r="A21" s="4" t="s">
        <v>157</v>
      </c>
      <c r="B21" s="9">
        <v>5900000</v>
      </c>
      <c r="C21" s="9">
        <v>8000000</v>
      </c>
      <c r="D21" s="9">
        <v>5860000</v>
      </c>
    </row>
    <row r="22" spans="1:4" ht="16.5" x14ac:dyDescent="0.15">
      <c r="A22" s="4" t="s">
        <v>158</v>
      </c>
      <c r="B22" s="9">
        <v>13966004.279999999</v>
      </c>
      <c r="C22" s="9">
        <v>12458058.550000001</v>
      </c>
      <c r="D22" s="9">
        <v>15401899.15</v>
      </c>
    </row>
    <row r="23" spans="1:4" ht="16.5" x14ac:dyDescent="0.15">
      <c r="A23" s="4" t="s">
        <v>159</v>
      </c>
      <c r="B23" s="9">
        <v>976496.52</v>
      </c>
      <c r="C23" s="9">
        <v>2926900</v>
      </c>
      <c r="D23" s="9">
        <v>126000</v>
      </c>
    </row>
    <row r="24" spans="1:4" ht="16.5" x14ac:dyDescent="0.15">
      <c r="A24" s="4" t="s">
        <v>160</v>
      </c>
      <c r="B24" s="9">
        <v>567308.27</v>
      </c>
      <c r="C24" s="9">
        <v>282032.92</v>
      </c>
      <c r="D24" s="9">
        <v>266564.68</v>
      </c>
    </row>
    <row r="25" spans="1:4" ht="16.5" x14ac:dyDescent="0.15">
      <c r="A25" s="4" t="s">
        <v>161</v>
      </c>
      <c r="B25" s="9">
        <v>-146208.20000000001</v>
      </c>
      <c r="C25" s="9">
        <v>-133844.14000000001</v>
      </c>
      <c r="D25" s="9">
        <v>-175856.86</v>
      </c>
    </row>
    <row r="26" spans="1:4" ht="16.5" x14ac:dyDescent="0.15">
      <c r="A26" s="4" t="s">
        <v>162</v>
      </c>
      <c r="B26" s="9">
        <v>1455139.82</v>
      </c>
      <c r="C26" s="9">
        <v>1152269</v>
      </c>
      <c r="D26" s="9">
        <v>1281026.1499999999</v>
      </c>
    </row>
    <row r="27" spans="1:4" ht="16.5" x14ac:dyDescent="0.15">
      <c r="A27" s="4" t="s">
        <v>163</v>
      </c>
      <c r="B27" s="9">
        <v>22718740.170000002</v>
      </c>
      <c r="C27" s="9">
        <v>24685416.329999998</v>
      </c>
      <c r="D27" s="9">
        <v>22759633.120000001</v>
      </c>
    </row>
    <row r="28" spans="1:4" ht="16.5" x14ac:dyDescent="0.15">
      <c r="A28" s="4" t="s">
        <v>164</v>
      </c>
      <c r="B28" s="9">
        <v>22718740.170000002</v>
      </c>
      <c r="C28" s="9">
        <v>24685416.329999998</v>
      </c>
      <c r="D28" s="9">
        <v>22759633.120000001</v>
      </c>
    </row>
    <row r="31" spans="1:4" ht="18" x14ac:dyDescent="0.35">
      <c r="A31" s="5" t="s">
        <v>165</v>
      </c>
    </row>
    <row r="32" spans="1:4" ht="21" x14ac:dyDescent="0.4">
      <c r="A32" s="1"/>
    </row>
    <row r="33" spans="1:4" ht="15" x14ac:dyDescent="0.15">
      <c r="A33" s="3" t="s">
        <v>108</v>
      </c>
      <c r="B33" s="8" t="s">
        <v>141</v>
      </c>
      <c r="C33" s="8" t="s">
        <v>142</v>
      </c>
      <c r="D33" s="8" t="s">
        <v>143</v>
      </c>
    </row>
    <row r="34" spans="1:4" ht="16.5" x14ac:dyDescent="0.15">
      <c r="A34" s="4" t="s">
        <v>166</v>
      </c>
      <c r="B34" s="9">
        <v>5000000</v>
      </c>
      <c r="C34" s="9">
        <v>5000000</v>
      </c>
      <c r="D34" s="9">
        <v>5000000</v>
      </c>
    </row>
    <row r="35" spans="1:4" ht="16.5" x14ac:dyDescent="0.15">
      <c r="A35" s="4" t="s">
        <v>167</v>
      </c>
      <c r="B35" s="9">
        <v>-3355077.84</v>
      </c>
      <c r="C35" s="9">
        <v>-5940320.2300000004</v>
      </c>
      <c r="D35" s="9">
        <v>-5920823.3300000001</v>
      </c>
    </row>
    <row r="36" spans="1:4" ht="16.5" x14ac:dyDescent="0.15">
      <c r="A36" s="4" t="s">
        <v>168</v>
      </c>
      <c r="B36" s="9">
        <v>1644922.16</v>
      </c>
      <c r="C36" s="9">
        <v>-940320.23</v>
      </c>
      <c r="D36" s="9">
        <v>-920823.33</v>
      </c>
    </row>
    <row r="39" spans="1:4" x14ac:dyDescent="0.15">
      <c r="B39" s="7">
        <f>B15-B28-B36</f>
        <v>-3.4924596548080444E-9</v>
      </c>
      <c r="C39" s="7">
        <f t="shared" ref="C39:D39" si="0">C15-C28-C36</f>
        <v>3.2596290111541748E-9</v>
      </c>
      <c r="D39" s="7">
        <f t="shared" si="0"/>
        <v>-1.9790604710578918E-9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7"/>
  <sheetViews>
    <sheetView zoomScale="120" zoomScaleNormal="120" workbookViewId="0">
      <selection activeCell="A23" sqref="A23"/>
    </sheetView>
  </sheetViews>
  <sheetFormatPr defaultRowHeight="13.5" x14ac:dyDescent="0.15"/>
  <cols>
    <col min="1" max="1" width="91.5" customWidth="1"/>
  </cols>
  <sheetData>
    <row r="1" spans="1:1" ht="21" x14ac:dyDescent="0.4">
      <c r="A1" s="1" t="s">
        <v>169</v>
      </c>
    </row>
    <row r="3" spans="1:1" ht="18" x14ac:dyDescent="0.35">
      <c r="A3" s="5" t="s">
        <v>170</v>
      </c>
    </row>
    <row r="4" spans="1:1" ht="16.5" x14ac:dyDescent="0.35">
      <c r="A4" s="6" t="s">
        <v>171</v>
      </c>
    </row>
    <row r="5" spans="1:1" ht="16.5" x14ac:dyDescent="0.35">
      <c r="A5" s="6"/>
    </row>
    <row r="6" spans="1:1" ht="16.5" x14ac:dyDescent="0.35">
      <c r="A6" s="6" t="s">
        <v>172</v>
      </c>
    </row>
    <row r="7" spans="1:1" ht="16.5" x14ac:dyDescent="0.35">
      <c r="A7" s="6" t="s">
        <v>173</v>
      </c>
    </row>
    <row r="8" spans="1:1" ht="16.5" x14ac:dyDescent="0.35">
      <c r="A8" s="6" t="s">
        <v>174</v>
      </c>
    </row>
    <row r="9" spans="1:1" ht="16.5" x14ac:dyDescent="0.35">
      <c r="A9" s="6" t="s">
        <v>175</v>
      </c>
    </row>
    <row r="10" spans="1:1" ht="16.5" x14ac:dyDescent="0.35">
      <c r="A10" s="6" t="s">
        <v>176</v>
      </c>
    </row>
    <row r="12" spans="1:1" ht="18" x14ac:dyDescent="0.35">
      <c r="A12" s="5" t="s">
        <v>177</v>
      </c>
    </row>
    <row r="13" spans="1:1" ht="16.5" x14ac:dyDescent="0.35">
      <c r="A13" s="6" t="s">
        <v>178</v>
      </c>
    </row>
    <row r="14" spans="1:1" ht="16.5" x14ac:dyDescent="0.35">
      <c r="A14" s="6" t="s">
        <v>179</v>
      </c>
    </row>
    <row r="15" spans="1:1" ht="16.5" x14ac:dyDescent="0.35">
      <c r="A15" s="6" t="s">
        <v>180</v>
      </c>
    </row>
    <row r="16" spans="1:1" ht="16.5" x14ac:dyDescent="0.35">
      <c r="A16" s="6" t="s">
        <v>181</v>
      </c>
    </row>
    <row r="18" spans="1:1" ht="18" x14ac:dyDescent="0.35">
      <c r="A18" s="5" t="s">
        <v>182</v>
      </c>
    </row>
    <row r="19" spans="1:1" ht="16.5" x14ac:dyDescent="0.35">
      <c r="A19" s="6" t="s">
        <v>183</v>
      </c>
    </row>
    <row r="20" spans="1:1" ht="16.5" x14ac:dyDescent="0.35">
      <c r="A20" s="6" t="s">
        <v>184</v>
      </c>
    </row>
    <row r="21" spans="1:1" ht="16.5" x14ac:dyDescent="0.35">
      <c r="A21" s="6" t="s">
        <v>185</v>
      </c>
    </row>
    <row r="22" spans="1:1" ht="16.5" x14ac:dyDescent="0.35">
      <c r="A22" s="6" t="s">
        <v>186</v>
      </c>
    </row>
    <row r="23" spans="1:1" ht="16.5" x14ac:dyDescent="0.35">
      <c r="A23" s="6" t="s">
        <v>187</v>
      </c>
    </row>
    <row r="25" spans="1:1" ht="18" x14ac:dyDescent="0.35">
      <c r="A25" s="5" t="s">
        <v>188</v>
      </c>
    </row>
    <row r="26" spans="1:1" ht="16.5" x14ac:dyDescent="0.35">
      <c r="A26" s="6" t="s">
        <v>189</v>
      </c>
    </row>
    <row r="27" spans="1:1" ht="16.5" x14ac:dyDescent="0.35">
      <c r="A27" s="6" t="s">
        <v>190</v>
      </c>
    </row>
    <row r="28" spans="1:1" ht="16.5" x14ac:dyDescent="0.35">
      <c r="A28" s="6" t="s">
        <v>191</v>
      </c>
    </row>
    <row r="29" spans="1:1" ht="16.5" x14ac:dyDescent="0.35">
      <c r="A29" s="6" t="s">
        <v>192</v>
      </c>
    </row>
    <row r="31" spans="1:1" ht="18" x14ac:dyDescent="0.35">
      <c r="A31" s="5" t="s">
        <v>193</v>
      </c>
    </row>
    <row r="32" spans="1:1" ht="16.5" x14ac:dyDescent="0.35">
      <c r="A32" s="6" t="s">
        <v>194</v>
      </c>
    </row>
    <row r="33" spans="1:1" ht="16.5" x14ac:dyDescent="0.35">
      <c r="A33" s="6" t="s">
        <v>195</v>
      </c>
    </row>
    <row r="34" spans="1:1" ht="16.5" x14ac:dyDescent="0.35">
      <c r="A34" s="6" t="s">
        <v>196</v>
      </c>
    </row>
    <row r="35" spans="1:1" ht="16.5" x14ac:dyDescent="0.35">
      <c r="A35" s="6" t="s">
        <v>197</v>
      </c>
    </row>
    <row r="36" spans="1:1" ht="16.5" x14ac:dyDescent="0.35">
      <c r="A36" s="6" t="s">
        <v>198</v>
      </c>
    </row>
    <row r="37" spans="1:1" ht="16.5" x14ac:dyDescent="0.35">
      <c r="A37" s="6" t="s">
        <v>199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经营分析汇总</vt:lpstr>
      <vt:lpstr>利润表明细</vt:lpstr>
      <vt:lpstr>资产负债表明细</vt:lpstr>
      <vt:lpstr>分析结论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V60449</cp:lastModifiedBy>
  <dcterms:created xsi:type="dcterms:W3CDTF">2026-06-20T03:28:48Z</dcterms:created>
  <dcterms:modified xsi:type="dcterms:W3CDTF">2026-06-20T08:38:49Z</dcterms:modified>
</cp:coreProperties>
</file>