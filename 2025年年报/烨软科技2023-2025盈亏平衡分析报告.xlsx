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盈亏平衡汇总" sheetId="1" state="visible" r:id="rId1"/>
    <sheet name="敏感性分析" sheetId="2" state="visible" r:id="rId2"/>
    <sheet name="目标利润情景" sheetId="3" state="visible" r:id="rId3"/>
    <sheet name="盈亏平衡图" sheetId="4" state="visible" r:id="rId4"/>
    <sheet name="三年趋势对比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2F5496"/>
      <sz val="14"/>
    </font>
    <font>
      <name val="微软雅黑"/>
      <i val="1"/>
      <color rgb="00808080"/>
      <sz val="9"/>
    </font>
    <font>
      <name val="微软雅黑"/>
      <b val="1"/>
      <color rgb="002F5496"/>
      <sz val="12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color rgb="00FF0000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3" fontId="5" fillId="0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2025年盈亏平衡图</a:t>
            </a:r>
          </a:p>
        </rich>
      </tx>
    </title>
    <plotArea>
      <lineChart>
        <grouping val="standard"/>
        <ser>
          <idx val="0"/>
          <order val="0"/>
          <tx>
            <strRef>
              <f>'盈亏平衡图'!B4</f>
            </strRef>
          </tx>
          <spPr>
            <a:ln w="250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'盈亏平衡图'!$A$4:$A$9</f>
            </numRef>
          </cat>
          <val>
            <numRef>
              <f>'盈亏平衡图'!$B$5:$B$9</f>
            </numRef>
          </val>
        </ser>
        <ser>
          <idx val="1"/>
          <order val="1"/>
          <tx>
            <strRef>
              <f>'盈亏平衡图'!C4</f>
            </strRef>
          </tx>
          <spPr>
            <a:ln w="250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'盈亏平衡图'!$A$4:$A$9</f>
            </numRef>
          </cat>
          <val>
            <numRef>
              <f>'盈亏平衡图'!$C$5:$C$9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产能利用率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金额（元）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13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烨软科技 2023-2025 盈亏平衡分析</t>
        </is>
      </c>
    </row>
    <row r="2">
      <c r="A2" s="2" t="inlineStr">
        <is>
          <t>关键假设：销售费用60%变动/40%固定 | 营业成本/税金全部变动 | 管理/研发/财务费用全部固定</t>
        </is>
      </c>
    </row>
    <row r="4">
      <c r="A4" s="3" t="inlineStr">
        <is>
          <t>一、成本性态分解</t>
        </is>
      </c>
    </row>
    <row r="5">
      <c r="A5" s="4" t="inlineStr">
        <is>
          <t>指标</t>
        </is>
      </c>
      <c r="B5" s="4" t="inlineStr">
        <is>
          <t>2023</t>
        </is>
      </c>
      <c r="C5" s="4" t="inlineStr">
        <is>
          <t>2024</t>
        </is>
      </c>
      <c r="D5" s="4" t="inlineStr">
        <is>
          <t>2025</t>
        </is>
      </c>
    </row>
    <row r="6">
      <c r="A6" s="5" t="inlineStr">
        <is>
          <t>营业收入</t>
        </is>
      </c>
      <c r="B6" s="6" t="n">
        <v>20204627</v>
      </c>
      <c r="C6" s="6" t="n">
        <v>7198465</v>
      </c>
      <c r="D6" s="6" t="n">
        <v>7991709</v>
      </c>
    </row>
    <row r="7">
      <c r="A7" s="5" t="inlineStr">
        <is>
          <t>变动成本</t>
        </is>
      </c>
      <c r="B7" s="6" t="n">
        <v>15301143</v>
      </c>
      <c r="C7" s="6" t="n">
        <v>5348740</v>
      </c>
      <c r="D7" s="6" t="n">
        <v>4320180</v>
      </c>
    </row>
    <row r="8">
      <c r="A8" s="5" t="inlineStr">
        <is>
          <t>固定成本</t>
        </is>
      </c>
      <c r="B8" s="6" t="n">
        <v>5736566</v>
      </c>
      <c r="C8" s="6" t="n">
        <v>4606789</v>
      </c>
      <c r="D8" s="6" t="n">
        <v>3673387</v>
      </c>
    </row>
    <row r="9">
      <c r="A9" s="5" t="inlineStr">
        <is>
          <t>边际贡献</t>
        </is>
      </c>
      <c r="B9" s="6" t="n">
        <v>4903484</v>
      </c>
      <c r="C9" s="6" t="n">
        <v>1849726</v>
      </c>
      <c r="D9" s="6" t="n">
        <v>3671529</v>
      </c>
    </row>
    <row r="10">
      <c r="A10" s="5" t="inlineStr">
        <is>
          <t>边际贡献率</t>
        </is>
      </c>
      <c r="B10" s="5" t="inlineStr">
        <is>
          <t>0.2%</t>
        </is>
      </c>
      <c r="C10" s="5" t="inlineStr">
        <is>
          <t>0.3%</t>
        </is>
      </c>
      <c r="D10" s="5" t="inlineStr">
        <is>
          <t>0.5%</t>
        </is>
      </c>
    </row>
    <row r="11">
      <c r="A11" s="5" t="inlineStr">
        <is>
          <t>变动成本率</t>
        </is>
      </c>
      <c r="B11" s="5" t="inlineStr">
        <is>
          <t>75.7%</t>
        </is>
      </c>
      <c r="C11" s="5" t="inlineStr">
        <is>
          <t>74.3%</t>
        </is>
      </c>
      <c r="D11" s="5" t="inlineStr">
        <is>
          <t>54.1%</t>
        </is>
      </c>
    </row>
    <row r="12">
      <c r="A12" s="5" t="inlineStr">
        <is>
          <t>固定成本占比</t>
        </is>
      </c>
      <c r="B12" s="5" t="inlineStr">
        <is>
          <t>28.4%</t>
        </is>
      </c>
      <c r="C12" s="5" t="inlineStr">
        <is>
          <t>64.0%</t>
        </is>
      </c>
      <c r="D12" s="5" t="inlineStr">
        <is>
          <t>46.0%</t>
        </is>
      </c>
    </row>
    <row r="14">
      <c r="A14" s="3" t="inlineStr">
        <is>
          <t>二、盈亏平衡计算</t>
        </is>
      </c>
    </row>
    <row r="15">
      <c r="A15" s="4" t="inlineStr">
        <is>
          <t>指标</t>
        </is>
      </c>
      <c r="B15" s="4" t="inlineStr">
        <is>
          <t>2023</t>
        </is>
      </c>
      <c r="C15" s="4" t="inlineStr">
        <is>
          <t>2024</t>
        </is>
      </c>
      <c r="D15" s="4" t="inlineStr">
        <is>
          <t>2025</t>
        </is>
      </c>
    </row>
    <row r="16">
      <c r="A16" s="5" t="inlineStr">
        <is>
          <t>盈亏平衡收入</t>
        </is>
      </c>
      <c r="B16" s="6" t="n">
        <v>23637309</v>
      </c>
      <c r="C16" s="6" t="n">
        <v>17927961</v>
      </c>
      <c r="D16" s="6" t="n">
        <v>7995753</v>
      </c>
    </row>
    <row r="17">
      <c r="A17" s="5" t="inlineStr">
        <is>
          <t>实际收入</t>
        </is>
      </c>
      <c r="B17" s="6" t="n">
        <v>20204627</v>
      </c>
      <c r="C17" s="6" t="n">
        <v>7198465</v>
      </c>
      <c r="D17" s="6" t="n">
        <v>7991709</v>
      </c>
    </row>
    <row r="18">
      <c r="A18" s="5" t="inlineStr">
        <is>
          <t>BEP产能利用率</t>
        </is>
      </c>
      <c r="B18" s="5" t="inlineStr">
        <is>
          <t>117.0%</t>
        </is>
      </c>
      <c r="C18" s="5" t="inlineStr">
        <is>
          <t>249.1%</t>
        </is>
      </c>
      <c r="D18" s="5" t="inlineStr">
        <is>
          <t>100.1%</t>
        </is>
      </c>
    </row>
    <row r="19">
      <c r="A19" s="5" t="inlineStr">
        <is>
          <t>安全边际(金额)</t>
        </is>
      </c>
      <c r="B19" s="6" t="n">
        <v>-3432681</v>
      </c>
      <c r="C19" s="6" t="n">
        <v>-10729496</v>
      </c>
      <c r="D19" s="6" t="n">
        <v>-4044</v>
      </c>
    </row>
    <row r="20">
      <c r="A20" s="5" t="inlineStr">
        <is>
          <t>安全边际率</t>
        </is>
      </c>
      <c r="B20" s="5" t="inlineStr">
        <is>
          <t>-17.0%</t>
        </is>
      </c>
      <c r="C20" s="5" t="inlineStr">
        <is>
          <t>-149.1%</t>
        </is>
      </c>
      <c r="D20" s="5" t="inlineStr">
        <is>
          <t>-0.1%</t>
        </is>
      </c>
    </row>
    <row r="21">
      <c r="A21" s="5" t="inlineStr">
        <is>
          <t>经营性利润</t>
        </is>
      </c>
      <c r="B21" s="6" t="n">
        <v>143829</v>
      </c>
      <c r="C21" s="6" t="n">
        <v>-2757063</v>
      </c>
      <c r="D21" s="6" t="n">
        <v>-1858</v>
      </c>
    </row>
    <row r="24">
      <c r="A24" s="7" t="inlineStr">
        <is>
          <t>2023年：实际收入2020万 &gt; BEP收入2364万，安全边际率-17.0%，盈利。</t>
        </is>
      </c>
    </row>
    <row r="25">
      <c r="A25" s="7" t="inlineStr">
        <is>
          <t>2024年：实际收入720万 &lt; BEP收入1793万，安全边际率-149.1%，亏损259万。收入断崖式下降(-64.4%)是主因。</t>
        </is>
      </c>
    </row>
    <row r="26">
      <c r="A26" s="7" t="inlineStr">
        <is>
          <t>2025年：实际收入799万，BEP收入800万，安全边际率-0.1%。几乎踩在盈亏平衡线上，经营利润仅-1,858元。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0" customWidth="1" min="3" max="3"/>
    <col width="18" customWidth="1" min="4" max="4"/>
    <col width="18" customWidth="1" min="5" max="5"/>
    <col width="18" customWidth="1" min="6" max="6"/>
    <col width="20" customWidth="1" min="7" max="7"/>
  </cols>
  <sheetData>
    <row r="1">
      <c r="A1" s="1" t="inlineStr">
        <is>
          <t>盈亏平衡敏感性分析（基于2025年数据）</t>
        </is>
      </c>
    </row>
    <row r="2">
      <c r="A2" s="2" t="inlineStr">
        <is>
          <t>控制单一变量，分析BEP、安全边际、利润的敏感度</t>
        </is>
      </c>
    </row>
    <row r="4">
      <c r="A4" s="4" t="inlineStr">
        <is>
          <t>变动因素</t>
        </is>
      </c>
      <c r="B4" s="4" t="inlineStr">
        <is>
          <t>变动幅度</t>
        </is>
      </c>
      <c r="C4" s="4" t="inlineStr">
        <is>
          <t>收入</t>
        </is>
      </c>
      <c r="D4" s="4" t="inlineStr">
        <is>
          <t>边际贡献率</t>
        </is>
      </c>
      <c r="E4" s="4" t="inlineStr">
        <is>
          <t>BEP收入</t>
        </is>
      </c>
      <c r="F4" s="4" t="inlineStr">
        <is>
          <t>安全边际率</t>
        </is>
      </c>
      <c r="G4" s="4" t="inlineStr">
        <is>
          <t>利润</t>
        </is>
      </c>
    </row>
    <row r="5">
      <c r="A5" s="5" t="inlineStr">
        <is>
          <t>单价</t>
        </is>
      </c>
      <c r="B5" s="5" t="inlineStr">
        <is>
          <t>-10%</t>
        </is>
      </c>
      <c r="C5" s="6" t="n">
        <v>7192538</v>
      </c>
      <c r="D5" s="5" t="inlineStr">
        <is>
          <t>39.9%</t>
        </is>
      </c>
      <c r="E5" s="6" t="n">
        <v>9198357</v>
      </c>
      <c r="F5" s="5" t="inlineStr">
        <is>
          <t>-27.9%</t>
        </is>
      </c>
      <c r="G5" s="6" t="n">
        <v>-801029</v>
      </c>
    </row>
    <row r="6">
      <c r="A6" s="5" t="inlineStr">
        <is>
          <t>单价</t>
        </is>
      </c>
      <c r="B6" s="5" t="inlineStr">
        <is>
          <t>-5%</t>
        </is>
      </c>
      <c r="C6" s="6" t="n">
        <v>7592124</v>
      </c>
      <c r="D6" s="5" t="inlineStr">
        <is>
          <t>43.1%</t>
        </is>
      </c>
      <c r="E6" s="6" t="n">
        <v>8523621</v>
      </c>
      <c r="F6" s="5" t="inlineStr">
        <is>
          <t>-12.3%</t>
        </is>
      </c>
      <c r="G6" s="6" t="n">
        <v>-401443</v>
      </c>
    </row>
    <row r="7">
      <c r="A7" s="5" t="inlineStr">
        <is>
          <t>单价</t>
        </is>
      </c>
      <c r="B7" s="5" t="inlineStr">
        <is>
          <t>+0%</t>
        </is>
      </c>
      <c r="C7" s="6" t="n">
        <v>7991709</v>
      </c>
      <c r="D7" s="5" t="inlineStr">
        <is>
          <t>45.9%</t>
        </is>
      </c>
      <c r="E7" s="6" t="n">
        <v>7995753</v>
      </c>
      <c r="F7" s="5" t="inlineStr">
        <is>
          <t>-0.1%</t>
        </is>
      </c>
      <c r="G7" s="6" t="n">
        <v>-1858</v>
      </c>
    </row>
    <row r="8">
      <c r="A8" s="5" t="inlineStr">
        <is>
          <t>单价</t>
        </is>
      </c>
      <c r="B8" s="5" t="inlineStr">
        <is>
          <t>+5%</t>
        </is>
      </c>
      <c r="C8" s="6" t="n">
        <v>8391294</v>
      </c>
      <c r="D8" s="5" t="inlineStr">
        <is>
          <t>48.5%</t>
        </is>
      </c>
      <c r="E8" s="6" t="n">
        <v>7571507</v>
      </c>
      <c r="F8" s="5" t="inlineStr">
        <is>
          <t>9.8%</t>
        </is>
      </c>
      <c r="G8" s="6" t="n">
        <v>397728</v>
      </c>
    </row>
    <row r="9">
      <c r="A9" s="5" t="inlineStr">
        <is>
          <t>单价</t>
        </is>
      </c>
      <c r="B9" s="5" t="inlineStr">
        <is>
          <t>+10%</t>
        </is>
      </c>
      <c r="C9" s="6" t="n">
        <v>8790880</v>
      </c>
      <c r="D9" s="5" t="inlineStr">
        <is>
          <t>50.9%</t>
        </is>
      </c>
      <c r="E9" s="6" t="n">
        <v>7223098</v>
      </c>
      <c r="F9" s="5" t="inlineStr">
        <is>
          <t>17.8%</t>
        </is>
      </c>
      <c r="G9" s="6" t="n">
        <v>797313</v>
      </c>
    </row>
    <row r="10">
      <c r="A10" s="5" t="inlineStr">
        <is>
          <t>变动成本</t>
        </is>
      </c>
      <c r="B10" s="5" t="inlineStr">
        <is>
          <t>-10%</t>
        </is>
      </c>
      <c r="C10" s="6" t="n">
        <v>7991709</v>
      </c>
      <c r="D10" s="5" t="inlineStr">
        <is>
          <t>51.3%</t>
        </is>
      </c>
      <c r="E10" s="6" t="n">
        <v>7153967</v>
      </c>
      <c r="F10" s="5" t="inlineStr">
        <is>
          <t>10.5%</t>
        </is>
      </c>
      <c r="G10" s="6" t="n">
        <v>430160</v>
      </c>
    </row>
    <row r="11">
      <c r="A11" s="5" t="inlineStr">
        <is>
          <t>变动成本</t>
        </is>
      </c>
      <c r="B11" s="5" t="inlineStr">
        <is>
          <t>-5%</t>
        </is>
      </c>
      <c r="C11" s="6" t="n">
        <v>7991709</v>
      </c>
      <c r="D11" s="5" t="inlineStr">
        <is>
          <t>48.6%</t>
        </is>
      </c>
      <c r="E11" s="6" t="n">
        <v>7551473</v>
      </c>
      <c r="F11" s="5" t="inlineStr">
        <is>
          <t>5.5%</t>
        </is>
      </c>
      <c r="G11" s="6" t="n">
        <v>214151</v>
      </c>
    </row>
    <row r="12">
      <c r="A12" s="5" t="inlineStr">
        <is>
          <t>变动成本</t>
        </is>
      </c>
      <c r="B12" s="5" t="inlineStr">
        <is>
          <t>+0%</t>
        </is>
      </c>
      <c r="C12" s="6" t="n">
        <v>7991709</v>
      </c>
      <c r="D12" s="5" t="inlineStr">
        <is>
          <t>45.9%</t>
        </is>
      </c>
      <c r="E12" s="6" t="n">
        <v>7995753</v>
      </c>
      <c r="F12" s="5" t="inlineStr">
        <is>
          <t>-0.1%</t>
        </is>
      </c>
      <c r="G12" s="6" t="n">
        <v>-1858</v>
      </c>
    </row>
    <row r="13">
      <c r="A13" s="5" t="inlineStr">
        <is>
          <t>变动成本</t>
        </is>
      </c>
      <c r="B13" s="5" t="inlineStr">
        <is>
          <t>+5%</t>
        </is>
      </c>
      <c r="C13" s="6" t="n">
        <v>7991709</v>
      </c>
      <c r="D13" s="5" t="inlineStr">
        <is>
          <t>43.2%</t>
        </is>
      </c>
      <c r="E13" s="6" t="n">
        <v>8495578</v>
      </c>
      <c r="F13" s="5" t="inlineStr">
        <is>
          <t>-6.3%</t>
        </is>
      </c>
      <c r="G13" s="6" t="n">
        <v>-217867</v>
      </c>
    </row>
    <row r="14">
      <c r="A14" s="5" t="inlineStr">
        <is>
          <t>变动成本</t>
        </is>
      </c>
      <c r="B14" s="5" t="inlineStr">
        <is>
          <t>+10%</t>
        </is>
      </c>
      <c r="C14" s="6" t="n">
        <v>7991709</v>
      </c>
      <c r="D14" s="5" t="inlineStr">
        <is>
          <t>40.5%</t>
        </is>
      </c>
      <c r="E14" s="6" t="n">
        <v>9062059</v>
      </c>
      <c r="F14" s="5" t="inlineStr">
        <is>
          <t>-13.4%</t>
        </is>
      </c>
      <c r="G14" s="6" t="n">
        <v>-433876</v>
      </c>
    </row>
    <row r="15">
      <c r="A15" s="5" t="inlineStr">
        <is>
          <t>固定成本</t>
        </is>
      </c>
      <c r="B15" s="5" t="inlineStr">
        <is>
          <t>-10%</t>
        </is>
      </c>
      <c r="C15" s="6" t="n">
        <v>7991709</v>
      </c>
      <c r="D15" s="5" t="inlineStr">
        <is>
          <t>45.9%</t>
        </is>
      </c>
      <c r="E15" s="6" t="n">
        <v>7196178</v>
      </c>
      <c r="F15" s="5" t="inlineStr">
        <is>
          <t>10.0%</t>
        </is>
      </c>
      <c r="G15" s="6" t="n">
        <v>365481</v>
      </c>
    </row>
    <row r="16">
      <c r="A16" s="5" t="inlineStr">
        <is>
          <t>固定成本</t>
        </is>
      </c>
      <c r="B16" s="5" t="inlineStr">
        <is>
          <t>-5%</t>
        </is>
      </c>
      <c r="C16" s="6" t="n">
        <v>7991709</v>
      </c>
      <c r="D16" s="5" t="inlineStr">
        <is>
          <t>45.9%</t>
        </is>
      </c>
      <c r="E16" s="6" t="n">
        <v>7595965</v>
      </c>
      <c r="F16" s="5" t="inlineStr">
        <is>
          <t>5.0%</t>
        </is>
      </c>
      <c r="G16" s="6" t="n">
        <v>181811</v>
      </c>
    </row>
    <row r="17">
      <c r="A17" s="5" t="inlineStr">
        <is>
          <t>固定成本</t>
        </is>
      </c>
      <c r="B17" s="5" t="inlineStr">
        <is>
          <t>+0%</t>
        </is>
      </c>
      <c r="C17" s="6" t="n">
        <v>7991709</v>
      </c>
      <c r="D17" s="5" t="inlineStr">
        <is>
          <t>45.9%</t>
        </is>
      </c>
      <c r="E17" s="6" t="n">
        <v>7995753</v>
      </c>
      <c r="F17" s="5" t="inlineStr">
        <is>
          <t>-0.1%</t>
        </is>
      </c>
      <c r="G17" s="6" t="n">
        <v>-1858</v>
      </c>
    </row>
    <row r="18">
      <c r="A18" s="5" t="inlineStr">
        <is>
          <t>固定成本</t>
        </is>
      </c>
      <c r="B18" s="5" t="inlineStr">
        <is>
          <t>+5%</t>
        </is>
      </c>
      <c r="C18" s="6" t="n">
        <v>7991709</v>
      </c>
      <c r="D18" s="5" t="inlineStr">
        <is>
          <t>45.9%</t>
        </is>
      </c>
      <c r="E18" s="6" t="n">
        <v>8395541</v>
      </c>
      <c r="F18" s="5" t="inlineStr">
        <is>
          <t>-5.1%</t>
        </is>
      </c>
      <c r="G18" s="6" t="n">
        <v>-185527</v>
      </c>
    </row>
    <row r="19">
      <c r="A19" s="5" t="inlineStr">
        <is>
          <t>固定成本</t>
        </is>
      </c>
      <c r="B19" s="5" t="inlineStr">
        <is>
          <t>+10%</t>
        </is>
      </c>
      <c r="C19" s="6" t="n">
        <v>7991709</v>
      </c>
      <c r="D19" s="5" t="inlineStr">
        <is>
          <t>45.9%</t>
        </is>
      </c>
      <c r="E19" s="6" t="n">
        <v>8795328</v>
      </c>
      <c r="F19" s="5" t="inlineStr">
        <is>
          <t>-10.1%</t>
        </is>
      </c>
      <c r="G19" s="6" t="n">
        <v>-369197</v>
      </c>
    </row>
    <row r="22">
      <c r="A22" s="7" t="inlineStr">
        <is>
          <t>解读：单价和变动成本对BEP最敏感。单价每下降10%，BEP上升22.2%；变动成本每上升10%，BEP上升22.2%。固定成本每上升10%，BEP上升10%。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8" customWidth="1" min="3" max="3"/>
    <col width="32" customWidth="1" min="4" max="4"/>
  </cols>
  <sheetData>
    <row r="1">
      <c r="A1" s="1" t="inlineStr">
        <is>
          <t>目标利润收入测算（基于2025年成本结构）</t>
        </is>
      </c>
    </row>
    <row r="2">
      <c r="A2" s="2" t="inlineStr">
        <is>
          <t>当前固定成本367万，边际贡献率45.9%</t>
        </is>
      </c>
    </row>
    <row r="4">
      <c r="A4" s="4" t="inlineStr">
        <is>
          <t>目标净利润</t>
        </is>
      </c>
      <c r="B4" s="4" t="inlineStr">
        <is>
          <t>所需收入</t>
        </is>
      </c>
      <c r="C4" s="4" t="inlineStr">
        <is>
          <t>收入增速</t>
        </is>
      </c>
      <c r="D4" s="4" t="inlineStr">
        <is>
          <t>相比当前差距</t>
        </is>
      </c>
    </row>
    <row r="5">
      <c r="A5" s="5" t="inlineStr">
        <is>
          <t>50万</t>
        </is>
      </c>
      <c r="B5" s="5" t="inlineStr">
        <is>
          <t>908.4万</t>
        </is>
      </c>
      <c r="C5" s="5" t="inlineStr">
        <is>
          <t>13.7%</t>
        </is>
      </c>
      <c r="D5" s="5" t="inlineStr">
        <is>
          <t>109.2万</t>
        </is>
      </c>
    </row>
    <row r="6">
      <c r="A6" s="5" t="inlineStr">
        <is>
          <t>100万</t>
        </is>
      </c>
      <c r="B6" s="5" t="inlineStr">
        <is>
          <t>1017.2万</t>
        </is>
      </c>
      <c r="C6" s="5" t="inlineStr">
        <is>
          <t>27.3%</t>
        </is>
      </c>
      <c r="D6" s="5" t="inlineStr">
        <is>
          <t>218.1万</t>
        </is>
      </c>
    </row>
    <row r="7">
      <c r="A7" s="5" t="inlineStr">
        <is>
          <t>200万</t>
        </is>
      </c>
      <c r="B7" s="5" t="inlineStr">
        <is>
          <t>1234.9万</t>
        </is>
      </c>
      <c r="C7" s="5" t="inlineStr">
        <is>
          <t>54.5%</t>
        </is>
      </c>
      <c r="D7" s="5" t="inlineStr">
        <is>
          <t>435.7万</t>
        </is>
      </c>
    </row>
    <row r="8">
      <c r="A8" s="5" t="inlineStr">
        <is>
          <t>300万</t>
        </is>
      </c>
      <c r="B8" s="5" t="inlineStr">
        <is>
          <t>1452.6万</t>
        </is>
      </c>
      <c r="C8" s="5" t="inlineStr">
        <is>
          <t>81.8%</t>
        </is>
      </c>
      <c r="D8" s="5" t="inlineStr">
        <is>
          <t>653.4万</t>
        </is>
      </c>
    </row>
    <row r="11">
      <c r="A11" s="7" t="inlineStr">
        <is>
          <t>说明：</t>
        </is>
      </c>
    </row>
    <row r="12">
      <c r="A12" s="7" t="inlineStr">
        <is>
          <t>• 上式基于公式：所需收入 = (固定成本 + 目标净利润) / 边际贡献率</t>
        </is>
      </c>
    </row>
    <row r="13">
      <c r="A13" s="7" t="inlineStr">
        <is>
          <t>• 不含营业外收支（因其为非经常性损益，不可预测）</t>
        </is>
      </c>
    </row>
    <row r="14">
      <c r="A14" s="7" t="inlineStr">
        <is>
          <t>• 当前(2025年)几乎不盈利，需要增收13.7%才能实现50万的稳定盈利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2025年盈亏平衡图（本-量-利模型）</t>
        </is>
      </c>
    </row>
    <row r="3">
      <c r="A3" s="4" t="inlineStr">
        <is>
          <t>产能利用率</t>
        </is>
      </c>
      <c r="B3" s="4" t="inlineStr">
        <is>
          <t>收入</t>
        </is>
      </c>
      <c r="C3" s="4" t="inlineStr">
        <is>
          <t>总成本</t>
        </is>
      </c>
      <c r="D3" s="4" t="inlineStr">
        <is>
          <t>固定成本</t>
        </is>
      </c>
      <c r="E3" s="4" t="inlineStr">
        <is>
          <t>利润</t>
        </is>
      </c>
    </row>
    <row r="4">
      <c r="A4" s="5" t="inlineStr">
        <is>
          <t>0%</t>
        </is>
      </c>
      <c r="B4" s="6" t="n">
        <v>0</v>
      </c>
      <c r="C4" s="6" t="n">
        <v>3673387</v>
      </c>
      <c r="D4" s="6" t="n">
        <v>3673387</v>
      </c>
      <c r="E4" s="6" t="n">
        <v>-3673387</v>
      </c>
    </row>
    <row r="5">
      <c r="A5" s="5" t="inlineStr">
        <is>
          <t>25%</t>
        </is>
      </c>
      <c r="B5" s="6" t="n">
        <v>1997927</v>
      </c>
      <c r="C5" s="6" t="n">
        <v>4753432</v>
      </c>
      <c r="D5" s="6" t="n">
        <v>3673387</v>
      </c>
      <c r="E5" s="6" t="n">
        <v>-2755505</v>
      </c>
    </row>
    <row r="6">
      <c r="A6" s="5" t="inlineStr">
        <is>
          <t>50%</t>
        </is>
      </c>
      <c r="B6" s="6" t="n">
        <v>3995854</v>
      </c>
      <c r="C6" s="6" t="n">
        <v>5833477</v>
      </c>
      <c r="D6" s="6" t="n">
        <v>3673387</v>
      </c>
      <c r="E6" s="6" t="n">
        <v>-1837622</v>
      </c>
    </row>
    <row r="7">
      <c r="A7" s="5" t="inlineStr">
        <is>
          <t>75%</t>
        </is>
      </c>
      <c r="B7" s="6" t="n">
        <v>5993782</v>
      </c>
      <c r="C7" s="6" t="n">
        <v>6913522</v>
      </c>
      <c r="D7" s="6" t="n">
        <v>3673387</v>
      </c>
      <c r="E7" s="6" t="n">
        <v>-919740</v>
      </c>
    </row>
    <row r="8">
      <c r="A8" s="5" t="inlineStr">
        <is>
          <t>100%</t>
        </is>
      </c>
      <c r="B8" s="6" t="n">
        <v>7991709</v>
      </c>
      <c r="C8" s="6" t="n">
        <v>7993567</v>
      </c>
      <c r="D8" s="6" t="n">
        <v>3673387</v>
      </c>
      <c r="E8" s="6" t="n">
        <v>-1858</v>
      </c>
    </row>
    <row r="9">
      <c r="A9" s="5" t="inlineStr">
        <is>
          <t>125%</t>
        </is>
      </c>
      <c r="B9" s="6" t="n">
        <v>9989636</v>
      </c>
      <c r="C9" s="6" t="n">
        <v>9073612</v>
      </c>
      <c r="D9" s="6" t="n">
        <v>3673387</v>
      </c>
      <c r="E9" s="6" t="n">
        <v>916024</v>
      </c>
    </row>
    <row r="12">
      <c r="A12" s="7" t="inlineStr">
        <is>
          <t>BEP大约在产能利用率100%处（收入≈800万）</t>
        </is>
      </c>
    </row>
    <row r="13">
      <c r="A13" s="8" t="inlineStr">
        <is>
          <t>当前收入799万，仅比BEP高出0.4万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三年盈亏平衡趋势</t>
        </is>
      </c>
    </row>
    <row r="3">
      <c r="A3" s="4" t="inlineStr">
        <is>
          <t>指标</t>
        </is>
      </c>
      <c r="B3" s="4" t="inlineStr">
        <is>
          <t>2023</t>
        </is>
      </c>
      <c r="C3" s="4" t="inlineStr">
        <is>
          <t>2024</t>
        </is>
      </c>
      <c r="D3" s="4" t="inlineStr">
        <is>
          <t>2025</t>
        </is>
      </c>
    </row>
    <row r="4">
      <c r="A4" s="5" t="inlineStr">
        <is>
          <t>BEP收入</t>
        </is>
      </c>
      <c r="B4" s="6" t="n">
        <v>23637309</v>
      </c>
      <c r="C4" s="6" t="n">
        <v>17927961</v>
      </c>
      <c r="D4" s="6" t="n">
        <v>7995753</v>
      </c>
    </row>
    <row r="5">
      <c r="A5" s="5" t="inlineStr">
        <is>
          <t>实际收入</t>
        </is>
      </c>
      <c r="B5" s="6" t="n">
        <v>20204627</v>
      </c>
      <c r="C5" s="6" t="n">
        <v>7198465</v>
      </c>
      <c r="D5" s="6" t="n">
        <v>7991709</v>
      </c>
    </row>
    <row r="6">
      <c r="A6" s="5" t="inlineStr">
        <is>
          <t>BEP产能利用率</t>
        </is>
      </c>
      <c r="B6" s="5" t="inlineStr">
        <is>
          <t>117.0%</t>
        </is>
      </c>
      <c r="C6" s="5" t="inlineStr">
        <is>
          <t>249.1%</t>
        </is>
      </c>
      <c r="D6" s="5" t="inlineStr">
        <is>
          <t>100.1%</t>
        </is>
      </c>
    </row>
    <row r="7">
      <c r="A7" s="5" t="inlineStr">
        <is>
          <t>安全边际率</t>
        </is>
      </c>
      <c r="B7" s="5" t="inlineStr">
        <is>
          <t>-17.0%</t>
        </is>
      </c>
      <c r="C7" s="5" t="inlineStr">
        <is>
          <t>-149.1%</t>
        </is>
      </c>
      <c r="D7" s="5" t="inlineStr">
        <is>
          <t>-0.1%</t>
        </is>
      </c>
    </row>
    <row r="8">
      <c r="A8" s="5" t="inlineStr">
        <is>
          <t>边际贡献率</t>
        </is>
      </c>
      <c r="B8" s="5" t="inlineStr">
        <is>
          <t>0.2%</t>
        </is>
      </c>
      <c r="C8" s="5" t="inlineStr">
        <is>
          <t>0.3%</t>
        </is>
      </c>
      <c r="D8" s="5" t="inlineStr">
        <is>
          <t>0.5%</t>
        </is>
      </c>
    </row>
    <row r="9">
      <c r="A9" s="5" t="inlineStr">
        <is>
          <t>固定成本</t>
        </is>
      </c>
      <c r="B9" s="6" t="n">
        <v>5736566</v>
      </c>
      <c r="C9" s="6" t="n">
        <v>4606789</v>
      </c>
      <c r="D9" s="6" t="n">
        <v>3673387</v>
      </c>
    </row>
    <row r="10">
      <c r="A10" s="5" t="inlineStr">
        <is>
          <t>变动成本率</t>
        </is>
      </c>
      <c r="B10" s="5" t="inlineStr">
        <is>
          <t>75.7%</t>
        </is>
      </c>
      <c r="C10" s="5" t="inlineStr">
        <is>
          <t>74.3%</t>
        </is>
      </c>
      <c r="D10" s="5" t="inlineStr">
        <is>
          <t>54.1%</t>
        </is>
      </c>
    </row>
    <row r="13">
      <c r="A13" s="7" t="inlineStr">
        <is>
          <t>三年趋势解读：</t>
        </is>
      </c>
    </row>
    <row r="14">
      <c r="A14" s="7" t="inlineStr">
        <is>
          <t>• BEP收入：2023年→2025年从2364万降至800万，主要因为固定成本大幅压缩（研发+管理费用下降）</t>
        </is>
      </c>
    </row>
    <row r="15">
      <c r="A15" s="7" t="inlineStr">
        <is>
          <t>• 边际贡献率：0.2%→0.3%→0.5%，毛利率改善拉动边际贡献率提升</t>
        </is>
      </c>
    </row>
    <row r="16">
      <c r="A16" s="7" t="inlineStr">
        <is>
          <t>• 安全边际：-17.0%→-149.1%→-0.1%，公司持续在BEP附近挣扎</t>
        </is>
      </c>
    </row>
    <row r="17">
      <c r="A17" s="7" t="inlineStr">
        <is>
          <t>• 核心矛盾：收入从2020万断崖至799万后，公司靠压缩固定成本（-52%）勉强保本，但已无压缩空间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2026-06-20T09:30:07Z</dcterms:created>
  <dcterms:modified xsi:type="dcterms:W3CDTF">2026-06-20T09:30:07Z</dcterms:modified>
</cp:coreProperties>
</file>